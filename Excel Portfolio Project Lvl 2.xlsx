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kMcCarthy\Downloads\"/>
    </mc:Choice>
  </mc:AlternateContent>
  <xr:revisionPtr revIDLastSave="0" documentId="8_{8732111A-D1D8-48D4-A4D5-162E7CC682FC}" xr6:coauthVersionLast="47" xr6:coauthVersionMax="47" xr10:uidLastSave="{00000000-0000-0000-0000-000000000000}"/>
  <bookViews>
    <workbookView xWindow="38290" yWindow="-240" windowWidth="38620" windowHeight="21100" firstSheet="9" activeTab="9" xr2:uid="{00000000-000D-0000-FFFF-FFFF00000000}"/>
  </bookViews>
  <sheets>
    <sheet name="Tasks" sheetId="2" r:id="rId1"/>
    <sheet name="Raw Data" sheetId="4" r:id="rId2"/>
    <sheet name="Data Cleansing" sheetId="12" r:id="rId3"/>
    <sheet name="Filter - Dept" sheetId="5" r:id="rId4"/>
    <sheet name="Filter - Salary" sheetId="6" r:id="rId5"/>
    <sheet name="Anonymise" sheetId="8" r:id="rId6"/>
    <sheet name="Aggregates" sheetId="9" r:id="rId7"/>
    <sheet name="Lookups" sheetId="10" r:id="rId8"/>
    <sheet name="Outliers" sheetId="11" r:id="rId9"/>
    <sheet name="Pivot Table" sheetId="7" r:id="rId10"/>
    <sheet name="Pivot table calc" sheetId="13" r:id="rId11"/>
  </sheets>
  <definedNames>
    <definedName name="_xlnm._FilterDatabase" localSheetId="3" hidden="1">'Filter - Dept'!$A$1:$G$102</definedName>
    <definedName name="_xlnm._FilterDatabase" localSheetId="4" hidden="1">'Filter - Salary'!$A$1:$G$102</definedName>
    <definedName name="_xlnm._FilterDatabase" localSheetId="8" hidden="1">Outliers!$A$1:$G$102</definedName>
    <definedName name="_xlchart.v1.0" hidden="1">Outliers!$B$2:$B$102</definedName>
    <definedName name="_xlchart.v1.1" hidden="1">Outliers!$E$2:$E$102</definedName>
    <definedName name="_xlchart.v1.2" hidden="1">Outliers!$F$2:$F$102</definedName>
    <definedName name="_xlchart.v1.3" hidden="1">Outliers!$G$2:$G$102</definedName>
  </definedNames>
  <calcPr calcId="191028"/>
  <pivotCaches>
    <pivotCache cacheId="21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0" l="1"/>
  <c r="P20" i="10"/>
  <c r="P21" i="10"/>
  <c r="N19" i="10"/>
  <c r="N20" i="10"/>
  <c r="N21" i="10"/>
  <c r="P18" i="10"/>
  <c r="N18" i="10"/>
  <c r="L19" i="10"/>
  <c r="L20" i="10"/>
  <c r="L21" i="10"/>
  <c r="L18" i="10"/>
  <c r="M7" i="10"/>
  <c r="M8" i="10"/>
  <c r="M9" i="10"/>
  <c r="M10" i="10"/>
  <c r="M6" i="10"/>
  <c r="L7" i="10"/>
  <c r="L8" i="10"/>
  <c r="L9" i="10"/>
  <c r="L10" i="10"/>
  <c r="L6" i="10"/>
  <c r="K7" i="10"/>
  <c r="K8" i="10"/>
  <c r="K9" i="10"/>
  <c r="K10" i="10"/>
  <c r="K6" i="10"/>
  <c r="K7" i="9"/>
  <c r="K6" i="9"/>
  <c r="K5" i="9"/>
  <c r="K4" i="9"/>
  <c r="K3" i="9"/>
  <c r="K2" i="9"/>
</calcChain>
</file>

<file path=xl/sharedStrings.xml><?xml version="1.0" encoding="utf-8"?>
<sst xmlns="http://schemas.openxmlformats.org/spreadsheetml/2006/main" count="3410" uniqueCount="364">
  <si>
    <t>Section 2: Practical Excel Skills</t>
  </si>
  <si>
    <t>Learner:</t>
  </si>
  <si>
    <t>Syed Taha Bukhari</t>
  </si>
  <si>
    <t>Assessor:</t>
  </si>
  <si>
    <t>M Zwierzanski</t>
  </si>
  <si>
    <t>You may need to research how to do some of these tasks</t>
  </si>
  <si>
    <t>Data Transfer (External Source)</t>
  </si>
  <si>
    <t>Import the Raw Data.csv file from the Class Materials folder in Teams into Excel. It should start in cell A1 in the "Raw Data" tab</t>
  </si>
  <si>
    <t>Ensure the data appears correctly in a tabular format.</t>
  </si>
  <si>
    <t>This evidence covers Unit 3 criterion 3.2 Perform a data transfer from a suitable external source to a spreadsheet</t>
  </si>
  <si>
    <t>Data Cleansing</t>
  </si>
  <si>
    <t>Copy the 'Raw Data' into the Data Cleansing tab and perform the actions below</t>
  </si>
  <si>
    <t>Remove any duplicate records.</t>
  </si>
  <si>
    <t>Identify and correct any inconsistent data in the age column e.g. '56 yrs' should be just 56.</t>
  </si>
  <si>
    <t>Identify and correct any inconsistent data in the gender column e.g. 'Male' should be simply 'M'</t>
  </si>
  <si>
    <t>Apply a sense and type check using Data Validation to the Age column and specify age must be between 18 and 75</t>
  </si>
  <si>
    <t>There are some incorrect entries in the Age column. Identify these and then replace them with the average of the remaining values in the Age column.</t>
  </si>
  <si>
    <t>Apply a length check to the Gender column via Data Validation and make sure it is 1 character long</t>
  </si>
  <si>
    <t>Try to break these validation checks to make sure they're working - capture the details (using a screenshot or snip) of your checks on the portfolio project Word answer sheet in the table provided</t>
  </si>
  <si>
    <t>This evidence covers Unit 3 criterion 3.3 Perform the following data cleansing measures: remover duplicates, length checks, type checks, sense</t>
  </si>
  <si>
    <t>Filtering</t>
  </si>
  <si>
    <t>Copy the cleansed data from 'Data Cleansing' and paste special as values starting in cell A1</t>
  </si>
  <si>
    <t>In the "Filter - Dept" tab,  filter to show employees in the "Data Department" only.</t>
  </si>
  <si>
    <t>In the "Filter - Salary" tab,  filter to show all employees whose salary is between £30,000 and £40,000</t>
  </si>
  <si>
    <t>This evidence covers Unit 4 criterion 3.1 Perform filtering of data</t>
  </si>
  <si>
    <t>Anonymisation</t>
  </si>
  <si>
    <t>Pseudonymise the name column which directly identifies the employees.</t>
  </si>
  <si>
    <t>Identify and delete any other columns which you do not need for further analysis (in the Pivot Table) and which in combination might be able to identify an employee.</t>
  </si>
  <si>
    <t>In the portfolio project Word document Q8 explain which columns you removed and why</t>
  </si>
  <si>
    <t>This evidence covers Unit 4 criterion 3.2 Perform anonymisation of data</t>
  </si>
  <si>
    <t>Formulas &amp; Functions</t>
  </si>
  <si>
    <t>In the "Aggregates" tab do the following formulas/tasks where specified</t>
  </si>
  <si>
    <t>Sum all the salaries</t>
  </si>
  <si>
    <t>Count all the employees</t>
  </si>
  <si>
    <t>Calculate the mean years at the company</t>
  </si>
  <si>
    <t>Find the mode of the age column</t>
  </si>
  <si>
    <t>Find the median of years at the company</t>
  </si>
  <si>
    <t>Find the range of the salary column</t>
  </si>
  <si>
    <t>This evidence covers Unit 4 criterion 3.4 Perform the following spreadsheet functions: count, sum, mean, mode, median, range</t>
  </si>
  <si>
    <t>Lookups</t>
  </si>
  <si>
    <t>Using the student data provided In the "Lookups" tab fill in the HLOOKUP table with the values requested</t>
  </si>
  <si>
    <t xml:space="preserve">This evidence covers Unit 4 criterion 3.3 Perform the following: VLOOKUP, HLOOKUP </t>
  </si>
  <si>
    <t>Outliers</t>
  </si>
  <si>
    <t>Identify any outliers in the following columns using a whisker and box plot for each column.</t>
  </si>
  <si>
    <t>Age</t>
  </si>
  <si>
    <t>Salary (£)</t>
  </si>
  <si>
    <t>Years in Company</t>
  </si>
  <si>
    <t>Performance Score</t>
  </si>
  <si>
    <t>If you find any outliers describe how you would deal with them in Assignment 4 part 2 - Q6</t>
  </si>
  <si>
    <t>This evidence covers Unit 4 criterion 3.5 Discuss actions which can be taken relating to outliers</t>
  </si>
  <si>
    <t>Pivot Table</t>
  </si>
  <si>
    <t>Copy the anonymised data from 'Data Cleansing' and paste special as values starting in cell A1</t>
  </si>
  <si>
    <r>
      <t xml:space="preserve">Use this anonymised to create a pivot table showing the </t>
    </r>
    <r>
      <rPr>
        <b/>
        <sz val="11"/>
        <color theme="1"/>
        <rFont val="Aptos Display"/>
        <family val="2"/>
        <scheme val="major"/>
      </rPr>
      <t>average</t>
    </r>
    <r>
      <rPr>
        <sz val="11"/>
        <color theme="1"/>
        <rFont val="Aptos Display"/>
        <scheme val="major"/>
      </rPr>
      <t xml:space="preserve"> salary by department (in rows) and gender (in columns)</t>
    </r>
  </si>
  <si>
    <t>This evidence covers Unit 4 criterion 3.6 Demonstrate the use of a pivot table</t>
  </si>
  <si>
    <t>Name</t>
  </si>
  <si>
    <t>Gender</t>
  </si>
  <si>
    <t>Department</t>
  </si>
  <si>
    <t>Instructor comments</t>
  </si>
  <si>
    <t>Aaron Cook</t>
  </si>
  <si>
    <t>M</t>
  </si>
  <si>
    <t>Engineering &amp; Product Development</t>
  </si>
  <si>
    <t>ACHIEVED</t>
  </si>
  <si>
    <t>Ahmed Khan</t>
  </si>
  <si>
    <t>Alex Turner</t>
  </si>
  <si>
    <t>Sales &amp; Marketing</t>
  </si>
  <si>
    <t>Alexander Adams</t>
  </si>
  <si>
    <t>Andrew Anderson</t>
  </si>
  <si>
    <t>Operations</t>
  </si>
  <si>
    <t>Anthony Lopez</t>
  </si>
  <si>
    <t>Male</t>
  </si>
  <si>
    <t>Arthur Ward</t>
  </si>
  <si>
    <t>Benjamin Carter</t>
  </si>
  <si>
    <t>56 yrs</t>
  </si>
  <si>
    <t>Brandon Wright</t>
  </si>
  <si>
    <t>Brian White</t>
  </si>
  <si>
    <t>Carlos Murphy</t>
  </si>
  <si>
    <t>Charles Davis</t>
  </si>
  <si>
    <t>IT &amp; Infrastructure</t>
  </si>
  <si>
    <t>Christopher Wilson</t>
  </si>
  <si>
    <t>Daniel Moore</t>
  </si>
  <si>
    <t>Data</t>
  </si>
  <si>
    <t>David Jones</t>
  </si>
  <si>
    <t>Dennis Collins</t>
  </si>
  <si>
    <t>Donald Campbell</t>
  </si>
  <si>
    <t>Edward Robinson</t>
  </si>
  <si>
    <t>Eric Lee</t>
  </si>
  <si>
    <t>Frank Bell</t>
  </si>
  <si>
    <t>George Thompson</t>
  </si>
  <si>
    <t>Henry Roberts</t>
  </si>
  <si>
    <t>51 yrs</t>
  </si>
  <si>
    <t>Hiroshi Tanaka</t>
  </si>
  <si>
    <t>Jacob Walker</t>
  </si>
  <si>
    <t>Customer Support</t>
  </si>
  <si>
    <t>James Smith</t>
  </si>
  <si>
    <t>Jason Diaz</t>
  </si>
  <si>
    <t>Jeffrey Clark</t>
  </si>
  <si>
    <t>John Allen</t>
  </si>
  <si>
    <t>Jonathan Young</t>
  </si>
  <si>
    <t>Jose Scott</t>
  </si>
  <si>
    <t>Joseph Thomas</t>
  </si>
  <si>
    <t>Juan Phillips</t>
  </si>
  <si>
    <t>Justin Mitchell</t>
  </si>
  <si>
    <t>Kai Chen</t>
  </si>
  <si>
    <t>Kevin Hall</t>
  </si>
  <si>
    <t>Kyle Parker</t>
  </si>
  <si>
    <t>Larry Ross</t>
  </si>
  <si>
    <t>Liam Kelly</t>
  </si>
  <si>
    <t>Lucas Cooper</t>
  </si>
  <si>
    <t>Research and Development</t>
  </si>
  <si>
    <t>Mark Martin</t>
  </si>
  <si>
    <t>Matthew Taylor</t>
  </si>
  <si>
    <t>Michael Williams</t>
  </si>
  <si>
    <t>Nicholas Lewis</t>
  </si>
  <si>
    <t>Owen Reed</t>
  </si>
  <si>
    <t>Patrick Baker</t>
  </si>
  <si>
    <t>Paul Harris</t>
  </si>
  <si>
    <t>Peter Green</t>
  </si>
  <si>
    <t>Raymond Rivera</t>
  </si>
  <si>
    <t>Richard Jackson</t>
  </si>
  <si>
    <t>Robert Johnson</t>
  </si>
  <si>
    <t>Roger Morgan</t>
  </si>
  <si>
    <t>Ryan Rodriguez</t>
  </si>
  <si>
    <t>Samuel King</t>
  </si>
  <si>
    <t>Stephen Perez</t>
  </si>
  <si>
    <t>Steven Garcia</t>
  </si>
  <si>
    <t>Thomas Miller</t>
  </si>
  <si>
    <t>Timothy Hill</t>
  </si>
  <si>
    <t>Tyler Morris</t>
  </si>
  <si>
    <t>Walter Evans</t>
  </si>
  <si>
    <t>William Brown</t>
  </si>
  <si>
    <t>Mary Smith</t>
  </si>
  <si>
    <t>F</t>
  </si>
  <si>
    <t>Jennifer Johnson</t>
  </si>
  <si>
    <t>Elizabeth Williams</t>
  </si>
  <si>
    <t>Linda Jones</t>
  </si>
  <si>
    <t>Female</t>
  </si>
  <si>
    <t>Patricia Brown</t>
  </si>
  <si>
    <t>Amanda Lewis</t>
  </si>
  <si>
    <t>Susan Davis</t>
  </si>
  <si>
    <t>Jessica Miller</t>
  </si>
  <si>
    <t>42 yrs</t>
  </si>
  <si>
    <t>Sarah Wilson</t>
  </si>
  <si>
    <t>Karen Moore</t>
  </si>
  <si>
    <t>Nancy Taylor</t>
  </si>
  <si>
    <t>Lisa Anderson</t>
  </si>
  <si>
    <t>Betty Thomas</t>
  </si>
  <si>
    <t>Margaret Jackson</t>
  </si>
  <si>
    <t>Dorothy White</t>
  </si>
  <si>
    <t>Sandra Harris</t>
  </si>
  <si>
    <t>Ashley Martin</t>
  </si>
  <si>
    <t>Kimberly Thompson</t>
  </si>
  <si>
    <t>Donna Garcia</t>
  </si>
  <si>
    <t>52 yrs</t>
  </si>
  <si>
    <t>Emily Robinson</t>
  </si>
  <si>
    <t>Michelle Clark</t>
  </si>
  <si>
    <t>Nicole Rodriguez</t>
  </si>
  <si>
    <t>Melissa Lee</t>
  </si>
  <si>
    <t>Deborah Walker</t>
  </si>
  <si>
    <t>Stephanie Hall</t>
  </si>
  <si>
    <t>Shirley Allen</t>
  </si>
  <si>
    <t>Helen Young</t>
  </si>
  <si>
    <t>Brenda King</t>
  </si>
  <si>
    <t>Anna Wright</t>
  </si>
  <si>
    <t>Amy Lopez</t>
  </si>
  <si>
    <t>Cynthia Turner</t>
  </si>
  <si>
    <t>Maria Hill</t>
  </si>
  <si>
    <t>Carla Scott</t>
  </si>
  <si>
    <t>Fiona Green</t>
  </si>
  <si>
    <t>Olivia Baker</t>
  </si>
  <si>
    <t>Riley Evans</t>
  </si>
  <si>
    <t>X</t>
  </si>
  <si>
    <t>Jordan Phillips</t>
  </si>
  <si>
    <t>Taylor Morris</t>
  </si>
  <si>
    <t>Casey Rivera</t>
  </si>
  <si>
    <t>Dakota Collins</t>
  </si>
  <si>
    <t>Average age(before filter)</t>
  </si>
  <si>
    <t>Name Pseudonymised</t>
  </si>
  <si>
    <t>Employee001</t>
  </si>
  <si>
    <t>Employee002</t>
  </si>
  <si>
    <t>Employee003</t>
  </si>
  <si>
    <t>Employee004</t>
  </si>
  <si>
    <t>Employee005</t>
  </si>
  <si>
    <t>Employee006</t>
  </si>
  <si>
    <t>Employee007</t>
  </si>
  <si>
    <t>Employee008</t>
  </si>
  <si>
    <t>Employee009</t>
  </si>
  <si>
    <t>Employee010</t>
  </si>
  <si>
    <t>Employee011</t>
  </si>
  <si>
    <t>Employee012</t>
  </si>
  <si>
    <t>Employee013</t>
  </si>
  <si>
    <t>Employee014</t>
  </si>
  <si>
    <t>Employee015</t>
  </si>
  <si>
    <t>Employee016</t>
  </si>
  <si>
    <t>Employee017</t>
  </si>
  <si>
    <t>Employee018</t>
  </si>
  <si>
    <t>Employee019</t>
  </si>
  <si>
    <t>Employee020</t>
  </si>
  <si>
    <t>Employee021</t>
  </si>
  <si>
    <t>Employee022</t>
  </si>
  <si>
    <t>Employee023</t>
  </si>
  <si>
    <t>Employee024</t>
  </si>
  <si>
    <t>Employee025</t>
  </si>
  <si>
    <t>Employee026</t>
  </si>
  <si>
    <t>Employee027</t>
  </si>
  <si>
    <t>Employee028</t>
  </si>
  <si>
    <t>Employee029</t>
  </si>
  <si>
    <t>Employee030</t>
  </si>
  <si>
    <t>Employee031</t>
  </si>
  <si>
    <t>Employee032</t>
  </si>
  <si>
    <t>Employee033</t>
  </si>
  <si>
    <t>Employee034</t>
  </si>
  <si>
    <t>Employee035</t>
  </si>
  <si>
    <t>Employee036</t>
  </si>
  <si>
    <t>Employee037</t>
  </si>
  <si>
    <t>Employee038</t>
  </si>
  <si>
    <t>Employee039</t>
  </si>
  <si>
    <t>Employee040</t>
  </si>
  <si>
    <t>Employee041</t>
  </si>
  <si>
    <t>Employee042</t>
  </si>
  <si>
    <t>Employee043</t>
  </si>
  <si>
    <t>Employee044</t>
  </si>
  <si>
    <t>Employee045</t>
  </si>
  <si>
    <t>Employee046</t>
  </si>
  <si>
    <t>Employee047</t>
  </si>
  <si>
    <t>Employee048</t>
  </si>
  <si>
    <t>Employee049</t>
  </si>
  <si>
    <t>Employee050</t>
  </si>
  <si>
    <t>Employee051</t>
  </si>
  <si>
    <t>Employee052</t>
  </si>
  <si>
    <t>Employee053</t>
  </si>
  <si>
    <t>Employee054</t>
  </si>
  <si>
    <t>Employee055</t>
  </si>
  <si>
    <t>Employee056</t>
  </si>
  <si>
    <t>Employee057</t>
  </si>
  <si>
    <t>Employee058</t>
  </si>
  <si>
    <t>Employee059</t>
  </si>
  <si>
    <t>Employee060</t>
  </si>
  <si>
    <t>Employee061</t>
  </si>
  <si>
    <t>Employee062</t>
  </si>
  <si>
    <t>Employee063</t>
  </si>
  <si>
    <t>Employee064</t>
  </si>
  <si>
    <t>Employee065</t>
  </si>
  <si>
    <t>Employee066</t>
  </si>
  <si>
    <t>Employee067</t>
  </si>
  <si>
    <t>Employee068</t>
  </si>
  <si>
    <t>Employee069</t>
  </si>
  <si>
    <t>Employee070</t>
  </si>
  <si>
    <t>Employee071</t>
  </si>
  <si>
    <t>Employee072</t>
  </si>
  <si>
    <t>Employee073</t>
  </si>
  <si>
    <t>Employee074</t>
  </si>
  <si>
    <t>Employee075</t>
  </si>
  <si>
    <t>Employee076</t>
  </si>
  <si>
    <t>Employee077</t>
  </si>
  <si>
    <t>Employee078</t>
  </si>
  <si>
    <t>Employee079</t>
  </si>
  <si>
    <t>Employee080</t>
  </si>
  <si>
    <t>Employee081</t>
  </si>
  <si>
    <t>Employee082</t>
  </si>
  <si>
    <t>Employee083</t>
  </si>
  <si>
    <t>Employee084</t>
  </si>
  <si>
    <t>Employee085</t>
  </si>
  <si>
    <t>Employee086</t>
  </si>
  <si>
    <t>Employee087</t>
  </si>
  <si>
    <t>Employee088</t>
  </si>
  <si>
    <t>Employee089</t>
  </si>
  <si>
    <t>Employee090</t>
  </si>
  <si>
    <t>Employee091</t>
  </si>
  <si>
    <t>Employee092</t>
  </si>
  <si>
    <t>Employee093</t>
  </si>
  <si>
    <t>Employee094</t>
  </si>
  <si>
    <t>Employee095</t>
  </si>
  <si>
    <t>Employee096</t>
  </si>
  <si>
    <t>Employee097</t>
  </si>
  <si>
    <t>Employee098</t>
  </si>
  <si>
    <t>Employee099</t>
  </si>
  <si>
    <t>Employee100</t>
  </si>
  <si>
    <t>Employee101</t>
  </si>
  <si>
    <t>Value</t>
  </si>
  <si>
    <t>Description</t>
  </si>
  <si>
    <t>The added total of salaries of all employees</t>
  </si>
  <si>
    <t>Number of Employees in the company</t>
  </si>
  <si>
    <t>On average, this is how many years each employee can be said to have worked in the company</t>
  </si>
  <si>
    <t>Most common age amongst the employees</t>
  </si>
  <si>
    <t>This is the central tendancy of the years all employees have spent in the company</t>
  </si>
  <si>
    <t>This shows the spread of the salaries of the employees.</t>
  </si>
  <si>
    <t>Use VLOOKUPs to get the information requested for the following employees</t>
  </si>
  <si>
    <t>Salary</t>
  </si>
  <si>
    <t>Use HLOOKUPs to find the grade for the 3 different subjects for the 4 students below</t>
  </si>
  <si>
    <t>Student</t>
  </si>
  <si>
    <t>Subject</t>
  </si>
  <si>
    <t>Grade</t>
  </si>
  <si>
    <t>Student 12</t>
  </si>
  <si>
    <t>Science</t>
  </si>
  <si>
    <t>Geography</t>
  </si>
  <si>
    <t>French</t>
  </si>
  <si>
    <t>Student 34</t>
  </si>
  <si>
    <t>English</t>
  </si>
  <si>
    <t>History</t>
  </si>
  <si>
    <t>Art</t>
  </si>
  <si>
    <t>Student 48</t>
  </si>
  <si>
    <t>Maths</t>
  </si>
  <si>
    <t>PE</t>
  </si>
  <si>
    <t>Student 5</t>
  </si>
  <si>
    <t>Student 1</t>
  </si>
  <si>
    <t>A</t>
  </si>
  <si>
    <t>G</t>
  </si>
  <si>
    <t>A*</t>
  </si>
  <si>
    <t>B</t>
  </si>
  <si>
    <t>C</t>
  </si>
  <si>
    <t>Student 2</t>
  </si>
  <si>
    <t>D</t>
  </si>
  <si>
    <t>U</t>
  </si>
  <si>
    <t>E</t>
  </si>
  <si>
    <t>Student 3</t>
  </si>
  <si>
    <t>Student 4</t>
  </si>
  <si>
    <t>Student 6</t>
  </si>
  <si>
    <t>Student 7</t>
  </si>
  <si>
    <t>Student 8</t>
  </si>
  <si>
    <t>Student 9</t>
  </si>
  <si>
    <t>Student 10</t>
  </si>
  <si>
    <t>Student 11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</si>
  <si>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</si>
  <si>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</si>
  <si>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</si>
  <si>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</si>
  <si>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</si>
  <si>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</si>
  <si>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</si>
  <si>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</si>
  <si>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</si>
  <si>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</si>
  <si>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</si>
  <si>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</si>
  <si>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</si>
  <si>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</si>
  <si>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</si>
  <si>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</si>
  <si>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</si>
  <si>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</si>
  <si>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</si>
  <si>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</si>
  <si>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</si>
  <si>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</si>
  <si>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</si>
  <si>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</si>
  <si>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</si>
  <si>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</si>
  <si>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</si>
  <si>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</si>
  <si>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</si>
  <si>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</si>
  <si>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</si>
  <si>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</si>
  <si>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</si>
  <si>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</si>
  <si>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49</t>
  </si>
  <si>
    <t>Student 50</t>
  </si>
  <si>
    <t xml:space="preserve"> </t>
  </si>
  <si>
    <t>Point out any outliers for the following columns and describe how you would deal with them in Assignment 4 Part 2 Q6</t>
  </si>
  <si>
    <t>44,31,19,19</t>
  </si>
  <si>
    <t>None</t>
  </si>
  <si>
    <t>Average of Salary (£)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</si>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</sst>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_(* #,##0_);_(* \(#,##0\);_(* &quot;-&quot;??_);_(@_)"/>
    <numFmt numFmtId="166" formatCode="_-[$£-809]* #,##0.00_-;\-[$£-809]* #,##0.00_-;_-[$£-809]* &quot;-&quot;??_-;_-@_-"/>
    <numFmt numFmtId="167" formatCode="_-[$£-809]* #,##0_-;\-[$£-809]* #,##0_-;_-[$£-809]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1"/>
      <name val="Aptos Display"/>
      <scheme val="major"/>
    </font>
    <font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1"/>
      <color theme="1"/>
      <name val="Aptos Narrow"/>
      <scheme val="minor"/>
    </font>
    <font>
      <sz val="11"/>
      <color rgb="FF000000"/>
      <name val="Aptos Display"/>
      <scheme val="major"/>
    </font>
    <font>
      <sz val="14"/>
      <color theme="9" tint="-0.249977111117893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0" borderId="4" xfId="0" applyFont="1" applyBorder="1"/>
    <xf numFmtId="0" fontId="0" fillId="0" borderId="2" xfId="0" applyBorder="1"/>
    <xf numFmtId="0" fontId="0" fillId="0" borderId="3" xfId="0" applyBorder="1"/>
    <xf numFmtId="2" fontId="0" fillId="0" borderId="3" xfId="0" applyNumberFormat="1" applyBorder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3" xfId="0" applyFont="1" applyFill="1" applyBorder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right" vertical="top"/>
    </xf>
    <xf numFmtId="0" fontId="8" fillId="0" borderId="0" xfId="0" applyFont="1"/>
    <xf numFmtId="0" fontId="0" fillId="0" borderId="3" xfId="0" applyBorder="1" applyAlignment="1">
      <alignment horizontal="center" vertical="top" wrapText="1"/>
    </xf>
    <xf numFmtId="1" fontId="0" fillId="0" borderId="0" xfId="0" applyNumberFormat="1"/>
    <xf numFmtId="167" fontId="0" fillId="0" borderId="1" xfId="0" applyNumberFormat="1" applyBorder="1"/>
    <xf numFmtId="164" fontId="0" fillId="0" borderId="1" xfId="0" applyNumberFormat="1" applyBorder="1"/>
    <xf numFmtId="165" fontId="0" fillId="0" borderId="3" xfId="0" applyNumberFormat="1" applyBorder="1"/>
    <xf numFmtId="0" fontId="0" fillId="0" borderId="0" xfId="0" pivotButton="1"/>
    <xf numFmtId="166" fontId="0" fillId="0" borderId="0" xfId="0" applyNumberFormat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4" borderId="15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/>
    </xf>
    <xf numFmtId="0" fontId="1" fillId="4" borderId="16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Age</a:t>
          </a:r>
        </a:p>
      </cx:txPr>
    </cx:title>
    <cx:plotArea>
      <cx:plotAreaRegion>
        <cx:series layoutId="boxWhisker" uniqueId="{00000000-1B3A-40BF-932E-21862673F43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Salary</a:t>
          </a:r>
        </a:p>
      </cx:txPr>
    </cx:title>
    <cx:plotArea>
      <cx:plotAreaRegion>
        <cx:series layoutId="boxWhisker" uniqueId="{00000000-472C-4468-B208-27EF7ABF9A6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Years in Company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Years in Company</a:t>
          </a:r>
        </a:p>
      </cx:txPr>
    </cx:title>
    <cx:plotArea>
      <cx:plotAreaRegion>
        <cx:series layoutId="boxWhisker" uniqueId="{00000000-3B0E-48A7-8839-4F57604FA63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Performance Score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Performance Score</a:t>
          </a:r>
        </a:p>
      </cx:txPr>
    </cx:title>
    <cx:plotArea>
      <cx:plotAreaRegion>
        <cx:series layoutId="boxWhisker" uniqueId="{00000000-4F68-4B7A-8D1E-36485968399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7</xdr:row>
      <xdr:rowOff>142875</xdr:rowOff>
    </xdr:from>
    <xdr:to>
      <xdr:col>19</xdr:col>
      <xdr:colOff>161925</xdr:colOff>
      <xdr:row>22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DAB6DE-3F45-8AB2-FC6E-19698675B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371475</xdr:colOff>
      <xdr:row>7</xdr:row>
      <xdr:rowOff>171450</xdr:rowOff>
    </xdr:from>
    <xdr:to>
      <xdr:col>23</xdr:col>
      <xdr:colOff>371475</xdr:colOff>
      <xdr:row>22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53843EE-40DE-45A2-AFE7-7E73B28C9D53}"/>
                </a:ext>
                <a:ext uri="{147F2762-F138-4A5C-976F-8EAC2B608ADB}">
                  <a16:predDERef xmlns:a16="http://schemas.microsoft.com/office/drawing/2014/main" pred="{98DAB6DE-3F45-8AB2-FC6E-19698675B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571500</xdr:colOff>
      <xdr:row>22</xdr:row>
      <xdr:rowOff>142875</xdr:rowOff>
    </xdr:from>
    <xdr:to>
      <xdr:col>19</xdr:col>
      <xdr:colOff>209550</xdr:colOff>
      <xdr:row>37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16BC7DD-3364-4525-99EC-73342CDC4E0B}"/>
                </a:ext>
                <a:ext uri="{147F2762-F138-4A5C-976F-8EAC2B608ADB}">
                  <a16:predDERef xmlns:a16="http://schemas.microsoft.com/office/drawing/2014/main" pred="{553843EE-40DE-45A2-AFE7-7E73B28C9D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381000</xdr:colOff>
      <xdr:row>22</xdr:row>
      <xdr:rowOff>171450</xdr:rowOff>
    </xdr:from>
    <xdr:to>
      <xdr:col>23</xdr:col>
      <xdr:colOff>400050</xdr:colOff>
      <xdr:row>37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10E3CE2-D7EA-4F2B-88DC-423AF66E389D}"/>
                </a:ext>
                <a:ext uri="{147F2762-F138-4A5C-976F-8EAC2B608ADB}">
                  <a16:predDERef xmlns:a16="http://schemas.microsoft.com/office/drawing/2014/main" pred="{C16BC7DD-3364-4525-99EC-73342CDC4E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679964236107" createdVersion="8" refreshedVersion="8" minRefreshableVersion="3" recordCount="101" xr:uid="{868B5C07-2CEE-4E62-B7DC-0712B10861E2}">
  <cacheSource type="worksheet">
    <worksheetSource ref="A1:D102" sheet="Pivot Table"/>
  </cacheSource>
  <cacheFields count="4">
    <cacheField name="Name Pseudonymised" numFmtId="0">
      <sharedItems/>
    </cacheField>
    <cacheField name="Gender" numFmtId="0">
      <sharedItems count="3">
        <s v="M"/>
        <s v="F"/>
        <s v="X"/>
      </sharedItems>
    </cacheField>
    <cacheField name="Department" numFmtId="0">
      <sharedItems count="7">
        <s v="Engineering &amp; Product Development"/>
        <s v="Sales &amp; Marketing"/>
        <s v="Operations"/>
        <s v="IT &amp; Infrastructure"/>
        <s v="Data"/>
        <s v="Customer Support"/>
        <s v="Research and Development"/>
      </sharedItems>
    </cacheField>
    <cacheField name="Salary (£)" numFmtId="0">
      <sharedItems containsSemiMixedTypes="0" containsString="0" containsNumber="1" containsInteger="1" minValue="15500" maxValue="85340" count="91">
        <n v="32600"/>
        <n v="51000"/>
        <n v="27800"/>
        <n v="28700"/>
        <n v="15500"/>
        <n v="25200"/>
        <n v="39100"/>
        <n v="35600"/>
        <n v="51400"/>
        <n v="43300"/>
        <n v="46100"/>
        <n v="41100"/>
        <n v="37500"/>
        <n v="41000"/>
        <n v="48000"/>
        <n v="64100"/>
        <n v="56400"/>
        <n v="37000"/>
        <n v="44300"/>
        <n v="28000"/>
        <n v="38200"/>
        <n v="47200"/>
        <n v="31500"/>
        <n v="24200"/>
        <n v="55100"/>
        <n v="37600"/>
        <n v="27100"/>
        <n v="45400"/>
        <n v="50800"/>
        <n v="31000"/>
        <n v="23000"/>
        <n v="53200"/>
        <n v="41500"/>
        <n v="49900"/>
        <n v="35500"/>
        <n v="37300"/>
        <n v="62600"/>
        <n v="29400"/>
        <n v="45600"/>
        <n v="30500"/>
        <n v="51500"/>
        <n v="48700"/>
        <n v="34200"/>
        <n v="53400"/>
        <n v="33700"/>
        <n v="19900"/>
        <n v="32700"/>
        <n v="56600"/>
        <n v="54500"/>
        <n v="46200"/>
        <n v="30200"/>
        <n v="59600"/>
        <n v="34800"/>
        <n v="28100"/>
        <n v="19300"/>
        <n v="29700"/>
        <n v="41200"/>
        <n v="39800"/>
        <n v="34900"/>
        <n v="18800"/>
        <n v="29500"/>
        <n v="64900"/>
        <n v="38900"/>
        <n v="50100"/>
        <n v="60000"/>
        <n v="49600"/>
        <n v="44100"/>
        <n v="42600"/>
        <n v="30700"/>
        <n v="44800"/>
        <n v="31600"/>
        <n v="28500"/>
        <n v="39500"/>
        <n v="63300"/>
        <n v="47900"/>
        <n v="57400"/>
        <n v="19200"/>
        <n v="49200"/>
        <n v="27400"/>
        <n v="33400"/>
        <n v="40700"/>
        <n v="42100"/>
        <n v="40500"/>
        <n v="35100"/>
        <n v="22100"/>
        <n v="54000"/>
        <n v="48500"/>
        <n v="23700"/>
        <n v="85340"/>
        <n v="34600"/>
        <n v="513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Employee001"/>
    <x v="0"/>
    <x v="0"/>
    <x v="0"/>
  </r>
  <r>
    <s v="Employee002"/>
    <x v="0"/>
    <x v="0"/>
    <x v="1"/>
  </r>
  <r>
    <s v="Employee003"/>
    <x v="0"/>
    <x v="1"/>
    <x v="2"/>
  </r>
  <r>
    <s v="Employee004"/>
    <x v="0"/>
    <x v="1"/>
    <x v="3"/>
  </r>
  <r>
    <s v="Employee005"/>
    <x v="0"/>
    <x v="2"/>
    <x v="4"/>
  </r>
  <r>
    <s v="Employee006"/>
    <x v="0"/>
    <x v="0"/>
    <x v="5"/>
  </r>
  <r>
    <s v="Employee007"/>
    <x v="0"/>
    <x v="1"/>
    <x v="6"/>
  </r>
  <r>
    <s v="Employee008"/>
    <x v="0"/>
    <x v="1"/>
    <x v="7"/>
  </r>
  <r>
    <s v="Employee009"/>
    <x v="0"/>
    <x v="0"/>
    <x v="8"/>
  </r>
  <r>
    <s v="Employee010"/>
    <x v="0"/>
    <x v="0"/>
    <x v="9"/>
  </r>
  <r>
    <s v="Employee011"/>
    <x v="0"/>
    <x v="0"/>
    <x v="10"/>
  </r>
  <r>
    <s v="Employee012"/>
    <x v="0"/>
    <x v="3"/>
    <x v="11"/>
  </r>
  <r>
    <s v="Employee013"/>
    <x v="0"/>
    <x v="0"/>
    <x v="12"/>
  </r>
  <r>
    <s v="Employee014"/>
    <x v="0"/>
    <x v="4"/>
    <x v="13"/>
  </r>
  <r>
    <s v="Employee015"/>
    <x v="0"/>
    <x v="0"/>
    <x v="14"/>
  </r>
  <r>
    <s v="Employee016"/>
    <x v="0"/>
    <x v="0"/>
    <x v="15"/>
  </r>
  <r>
    <s v="Employee017"/>
    <x v="0"/>
    <x v="4"/>
    <x v="16"/>
  </r>
  <r>
    <s v="Employee018"/>
    <x v="0"/>
    <x v="0"/>
    <x v="17"/>
  </r>
  <r>
    <s v="Employee019"/>
    <x v="0"/>
    <x v="0"/>
    <x v="18"/>
  </r>
  <r>
    <s v="Employee020"/>
    <x v="0"/>
    <x v="0"/>
    <x v="19"/>
  </r>
  <r>
    <s v="Employee021"/>
    <x v="0"/>
    <x v="0"/>
    <x v="20"/>
  </r>
  <r>
    <s v="Employee022"/>
    <x v="0"/>
    <x v="0"/>
    <x v="21"/>
  </r>
  <r>
    <s v="Employee023"/>
    <x v="0"/>
    <x v="1"/>
    <x v="22"/>
  </r>
  <r>
    <s v="Employee024"/>
    <x v="0"/>
    <x v="5"/>
    <x v="23"/>
  </r>
  <r>
    <s v="Employee025"/>
    <x v="0"/>
    <x v="0"/>
    <x v="24"/>
  </r>
  <r>
    <s v="Employee026"/>
    <x v="0"/>
    <x v="3"/>
    <x v="25"/>
  </r>
  <r>
    <s v="Employee027"/>
    <x v="0"/>
    <x v="5"/>
    <x v="26"/>
  </r>
  <r>
    <s v="Employee028"/>
    <x v="0"/>
    <x v="1"/>
    <x v="27"/>
  </r>
  <r>
    <s v="Employee029"/>
    <x v="0"/>
    <x v="0"/>
    <x v="28"/>
  </r>
  <r>
    <s v="Employee030"/>
    <x v="0"/>
    <x v="1"/>
    <x v="29"/>
  </r>
  <r>
    <s v="Employee031"/>
    <x v="0"/>
    <x v="5"/>
    <x v="30"/>
  </r>
  <r>
    <s v="Employee032"/>
    <x v="0"/>
    <x v="0"/>
    <x v="31"/>
  </r>
  <r>
    <s v="Employee033"/>
    <x v="0"/>
    <x v="1"/>
    <x v="6"/>
  </r>
  <r>
    <s v="Employee034"/>
    <x v="0"/>
    <x v="0"/>
    <x v="32"/>
  </r>
  <r>
    <s v="Employee035"/>
    <x v="0"/>
    <x v="0"/>
    <x v="33"/>
  </r>
  <r>
    <s v="Employee036"/>
    <x v="0"/>
    <x v="1"/>
    <x v="34"/>
  </r>
  <r>
    <s v="Employee037"/>
    <x v="0"/>
    <x v="1"/>
    <x v="10"/>
  </r>
  <r>
    <s v="Employee038"/>
    <x v="0"/>
    <x v="0"/>
    <x v="35"/>
  </r>
  <r>
    <s v="Employee039"/>
    <x v="0"/>
    <x v="6"/>
    <x v="36"/>
  </r>
  <r>
    <s v="Employee040"/>
    <x v="0"/>
    <x v="1"/>
    <x v="37"/>
  </r>
  <r>
    <s v="Employee041"/>
    <x v="0"/>
    <x v="0"/>
    <x v="31"/>
  </r>
  <r>
    <s v="Employee042"/>
    <x v="0"/>
    <x v="4"/>
    <x v="38"/>
  </r>
  <r>
    <s v="Employee043"/>
    <x v="0"/>
    <x v="3"/>
    <x v="27"/>
  </r>
  <r>
    <s v="Employee044"/>
    <x v="0"/>
    <x v="2"/>
    <x v="39"/>
  </r>
  <r>
    <s v="Employee045"/>
    <x v="0"/>
    <x v="3"/>
    <x v="40"/>
  </r>
  <r>
    <s v="Employee046"/>
    <x v="0"/>
    <x v="4"/>
    <x v="41"/>
  </r>
  <r>
    <s v="Employee047"/>
    <x v="0"/>
    <x v="0"/>
    <x v="42"/>
  </r>
  <r>
    <s v="Employee048"/>
    <x v="0"/>
    <x v="0"/>
    <x v="43"/>
  </r>
  <r>
    <s v="Employee049"/>
    <x v="0"/>
    <x v="2"/>
    <x v="44"/>
  </r>
  <r>
    <s v="Employee050"/>
    <x v="0"/>
    <x v="1"/>
    <x v="45"/>
  </r>
  <r>
    <s v="Employee051"/>
    <x v="0"/>
    <x v="4"/>
    <x v="46"/>
  </r>
  <r>
    <s v="Employee052"/>
    <x v="0"/>
    <x v="4"/>
    <x v="47"/>
  </r>
  <r>
    <s v="Employee053"/>
    <x v="0"/>
    <x v="5"/>
    <x v="30"/>
  </r>
  <r>
    <s v="Employee054"/>
    <x v="0"/>
    <x v="6"/>
    <x v="48"/>
  </r>
  <r>
    <s v="Employee055"/>
    <x v="0"/>
    <x v="0"/>
    <x v="49"/>
  </r>
  <r>
    <s v="Employee056"/>
    <x v="0"/>
    <x v="2"/>
    <x v="50"/>
  </r>
  <r>
    <s v="Employee057"/>
    <x v="0"/>
    <x v="0"/>
    <x v="51"/>
  </r>
  <r>
    <s v="Employee058"/>
    <x v="0"/>
    <x v="2"/>
    <x v="52"/>
  </r>
  <r>
    <s v="Employee059"/>
    <x v="0"/>
    <x v="5"/>
    <x v="53"/>
  </r>
  <r>
    <s v="Employee060"/>
    <x v="0"/>
    <x v="1"/>
    <x v="54"/>
  </r>
  <r>
    <s v="Employee061"/>
    <x v="1"/>
    <x v="0"/>
    <x v="38"/>
  </r>
  <r>
    <s v="Employee062"/>
    <x v="1"/>
    <x v="2"/>
    <x v="55"/>
  </r>
  <r>
    <s v="Employee063"/>
    <x v="1"/>
    <x v="1"/>
    <x v="56"/>
  </r>
  <r>
    <s v="Employee064"/>
    <x v="1"/>
    <x v="1"/>
    <x v="57"/>
  </r>
  <r>
    <s v="Employee065"/>
    <x v="1"/>
    <x v="0"/>
    <x v="51"/>
  </r>
  <r>
    <s v="Employee066"/>
    <x v="1"/>
    <x v="1"/>
    <x v="58"/>
  </r>
  <r>
    <s v="Employee067"/>
    <x v="1"/>
    <x v="5"/>
    <x v="59"/>
  </r>
  <r>
    <s v="Employee068"/>
    <x v="1"/>
    <x v="0"/>
    <x v="60"/>
  </r>
  <r>
    <s v="Employee069"/>
    <x v="1"/>
    <x v="6"/>
    <x v="61"/>
  </r>
  <r>
    <s v="Employee070"/>
    <x v="1"/>
    <x v="0"/>
    <x v="62"/>
  </r>
  <r>
    <s v="Employee071"/>
    <x v="1"/>
    <x v="4"/>
    <x v="63"/>
  </r>
  <r>
    <s v="Employee072"/>
    <x v="1"/>
    <x v="3"/>
    <x v="64"/>
  </r>
  <r>
    <s v="Employee073"/>
    <x v="1"/>
    <x v="0"/>
    <x v="65"/>
  </r>
  <r>
    <s v="Employee074"/>
    <x v="1"/>
    <x v="0"/>
    <x v="66"/>
  </r>
  <r>
    <s v="Employee075"/>
    <x v="1"/>
    <x v="4"/>
    <x v="67"/>
  </r>
  <r>
    <s v="Employee076"/>
    <x v="1"/>
    <x v="3"/>
    <x v="68"/>
  </r>
  <r>
    <s v="Employee077"/>
    <x v="1"/>
    <x v="1"/>
    <x v="69"/>
  </r>
  <r>
    <s v="Employee078"/>
    <x v="1"/>
    <x v="3"/>
    <x v="70"/>
  </r>
  <r>
    <s v="Employee079"/>
    <x v="1"/>
    <x v="1"/>
    <x v="71"/>
  </r>
  <r>
    <s v="Employee080"/>
    <x v="1"/>
    <x v="1"/>
    <x v="72"/>
  </r>
  <r>
    <s v="Employee081"/>
    <x v="1"/>
    <x v="6"/>
    <x v="73"/>
  </r>
  <r>
    <s v="Employee082"/>
    <x v="1"/>
    <x v="4"/>
    <x v="74"/>
  </r>
  <r>
    <s v="Employee083"/>
    <x v="1"/>
    <x v="1"/>
    <x v="58"/>
  </r>
  <r>
    <s v="Employee084"/>
    <x v="1"/>
    <x v="0"/>
    <x v="75"/>
  </r>
  <r>
    <s v="Employee085"/>
    <x v="1"/>
    <x v="1"/>
    <x v="76"/>
  </r>
  <r>
    <s v="Employee086"/>
    <x v="1"/>
    <x v="0"/>
    <x v="77"/>
  </r>
  <r>
    <s v="Employee087"/>
    <x v="1"/>
    <x v="2"/>
    <x v="78"/>
  </r>
  <r>
    <s v="Employee088"/>
    <x v="1"/>
    <x v="2"/>
    <x v="79"/>
  </r>
  <r>
    <s v="Employee089"/>
    <x v="1"/>
    <x v="0"/>
    <x v="80"/>
  </r>
  <r>
    <s v="Employee090"/>
    <x v="1"/>
    <x v="0"/>
    <x v="81"/>
  </r>
  <r>
    <s v="Employee091"/>
    <x v="1"/>
    <x v="1"/>
    <x v="82"/>
  </r>
  <r>
    <s v="Employee092"/>
    <x v="1"/>
    <x v="1"/>
    <x v="83"/>
  </r>
  <r>
    <s v="Employee093"/>
    <x v="1"/>
    <x v="5"/>
    <x v="84"/>
  </r>
  <r>
    <s v="Employee094"/>
    <x v="1"/>
    <x v="2"/>
    <x v="30"/>
  </r>
  <r>
    <s v="Employee095"/>
    <x v="1"/>
    <x v="0"/>
    <x v="85"/>
  </r>
  <r>
    <s v="Employee096"/>
    <x v="1"/>
    <x v="0"/>
    <x v="86"/>
  </r>
  <r>
    <s v="Employee097"/>
    <x v="2"/>
    <x v="4"/>
    <x v="24"/>
  </r>
  <r>
    <s v="Employee098"/>
    <x v="2"/>
    <x v="5"/>
    <x v="87"/>
  </r>
  <r>
    <s v="Employee099"/>
    <x v="2"/>
    <x v="0"/>
    <x v="88"/>
  </r>
  <r>
    <s v="Employee100"/>
    <x v="2"/>
    <x v="0"/>
    <x v="89"/>
  </r>
  <r>
    <s v="Employee101"/>
    <x v="2"/>
    <x v="3"/>
    <x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8B6EB-EF72-434D-90BE-B132846608E4}" name="PivotTable2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:J11" firstHeaderRow="1" firstDataRow="2" firstDataCol="1"/>
  <pivotFields count="4"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8">
        <item x="5"/>
        <item x="4"/>
        <item x="0"/>
        <item x="3"/>
        <item x="2"/>
        <item x="6"/>
        <item x="1"/>
        <item t="default"/>
      </items>
    </pivotField>
    <pivotField dataField="1" compact="0" outline="0" showAll="0">
      <items count="92">
        <item x="4"/>
        <item x="59"/>
        <item x="76"/>
        <item x="54"/>
        <item x="45"/>
        <item x="84"/>
        <item x="30"/>
        <item x="87"/>
        <item x="23"/>
        <item x="5"/>
        <item x="26"/>
        <item x="78"/>
        <item x="2"/>
        <item x="19"/>
        <item x="53"/>
        <item x="71"/>
        <item x="3"/>
        <item x="37"/>
        <item x="60"/>
        <item x="55"/>
        <item x="50"/>
        <item x="39"/>
        <item x="68"/>
        <item x="29"/>
        <item x="22"/>
        <item x="70"/>
        <item x="0"/>
        <item x="46"/>
        <item x="79"/>
        <item x="44"/>
        <item x="42"/>
        <item x="89"/>
        <item x="52"/>
        <item x="58"/>
        <item x="83"/>
        <item x="34"/>
        <item x="7"/>
        <item x="17"/>
        <item x="35"/>
        <item x="12"/>
        <item x="25"/>
        <item x="20"/>
        <item x="62"/>
        <item x="6"/>
        <item x="72"/>
        <item x="57"/>
        <item x="82"/>
        <item x="80"/>
        <item x="13"/>
        <item x="11"/>
        <item x="56"/>
        <item x="32"/>
        <item x="81"/>
        <item x="67"/>
        <item x="9"/>
        <item x="66"/>
        <item x="18"/>
        <item x="69"/>
        <item x="27"/>
        <item x="38"/>
        <item x="10"/>
        <item x="49"/>
        <item x="21"/>
        <item x="74"/>
        <item x="14"/>
        <item x="86"/>
        <item x="41"/>
        <item x="77"/>
        <item x="65"/>
        <item x="33"/>
        <item x="63"/>
        <item x="28"/>
        <item x="1"/>
        <item x="90"/>
        <item x="8"/>
        <item x="40"/>
        <item x="31"/>
        <item x="43"/>
        <item x="85"/>
        <item x="48"/>
        <item x="24"/>
        <item x="16"/>
        <item x="47"/>
        <item x="75"/>
        <item x="51"/>
        <item x="64"/>
        <item x="36"/>
        <item x="73"/>
        <item x="15"/>
        <item x="61"/>
        <item x="88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alary (£)" fld="3" subtotal="average" baseField="0" baseItem="0" numFmtId="166"/>
  </dataFields>
  <formats count="1">
    <format dxfId="1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E0F40-6599-4C34-AAF8-C1FDCE15F155}" name="PivotTable1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2" firstHeaderRow="1" firstDataRow="2" firstDataCol="1"/>
  <pivotFields count="4"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8">
        <item x="5"/>
        <item x="4"/>
        <item x="0"/>
        <item x="3"/>
        <item x="2"/>
        <item x="6"/>
        <item x="1"/>
        <item t="default"/>
      </items>
    </pivotField>
    <pivotField dataField="1" compact="0" outline="0" showAll="0">
      <items count="92">
        <item x="4"/>
        <item x="59"/>
        <item x="76"/>
        <item x="54"/>
        <item x="45"/>
        <item x="84"/>
        <item x="30"/>
        <item x="87"/>
        <item x="23"/>
        <item x="5"/>
        <item x="26"/>
        <item x="78"/>
        <item x="2"/>
        <item x="19"/>
        <item x="53"/>
        <item x="71"/>
        <item x="3"/>
        <item x="37"/>
        <item x="60"/>
        <item x="55"/>
        <item x="50"/>
        <item x="39"/>
        <item x="68"/>
        <item x="29"/>
        <item x="22"/>
        <item x="70"/>
        <item x="0"/>
        <item x="46"/>
        <item x="79"/>
        <item x="44"/>
        <item x="42"/>
        <item x="89"/>
        <item x="52"/>
        <item x="58"/>
        <item x="83"/>
        <item x="34"/>
        <item x="7"/>
        <item x="17"/>
        <item x="35"/>
        <item x="12"/>
        <item x="25"/>
        <item x="20"/>
        <item x="62"/>
        <item x="6"/>
        <item x="72"/>
        <item x="57"/>
        <item x="82"/>
        <item x="80"/>
        <item x="13"/>
        <item x="11"/>
        <item x="56"/>
        <item x="32"/>
        <item x="81"/>
        <item x="67"/>
        <item x="9"/>
        <item x="66"/>
        <item x="18"/>
        <item x="69"/>
        <item x="27"/>
        <item x="38"/>
        <item x="10"/>
        <item x="49"/>
        <item x="21"/>
        <item x="74"/>
        <item x="14"/>
        <item x="86"/>
        <item x="41"/>
        <item x="77"/>
        <item x="65"/>
        <item x="33"/>
        <item x="63"/>
        <item x="28"/>
        <item x="1"/>
        <item x="90"/>
        <item x="8"/>
        <item x="40"/>
        <item x="31"/>
        <item x="43"/>
        <item x="85"/>
        <item x="48"/>
        <item x="24"/>
        <item x="16"/>
        <item x="47"/>
        <item x="75"/>
        <item x="51"/>
        <item x="64"/>
        <item x="36"/>
        <item x="73"/>
        <item x="15"/>
        <item x="61"/>
        <item x="88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alary (£)" fld="3" subtotal="average" baseField="0" baseItem="0" numFmtId="166"/>
  </dataFields>
  <formats count="1">
    <format dxfId="9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5F9B3F-B9D4-49F4-BC80-6632A6FFA88C}" name="Table8" displayName="Table8" ref="A1:G102" totalsRowShown="0">
  <autoFilter ref="A1:G102" xr:uid="{1B5F9B3F-B9D4-49F4-BC80-6632A6FFA88C}"/>
  <tableColumns count="7">
    <tableColumn id="1" xr3:uid="{9815E98E-3634-4A5C-9950-5AFA678ABF65}" name="Name"/>
    <tableColumn id="2" xr3:uid="{8A5FB79B-8283-478C-A568-3BD5309D2937}" name="Age"/>
    <tableColumn id="3" xr3:uid="{7D67B251-02BE-4402-8B3D-F008A3412729}" name="Gender"/>
    <tableColumn id="4" xr3:uid="{937BC34D-D237-4D5C-A36C-BB6DDDFD0D0B}" name="Department"/>
    <tableColumn id="5" xr3:uid="{C5997CA6-3371-4D72-A56F-8FDCE315555E}" name="Salary (£)"/>
    <tableColumn id="6" xr3:uid="{2F37DFAD-FFEE-451C-959B-435B1323BA5A}" name="Years in Company"/>
    <tableColumn id="7" xr3:uid="{5B166B0B-1064-4B61-A744-C369AC539087}" name="Performance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CDA312-0A0B-4310-9B51-5E5C2E838850}" name="Table7" displayName="Table7" ref="A1:G102" totalsRowShown="0">
  <autoFilter ref="A1:G102" xr:uid="{11CDA312-0A0B-4310-9B51-5E5C2E838850}"/>
  <tableColumns count="7">
    <tableColumn id="1" xr3:uid="{6C5E070C-8AF2-48A5-81CE-2FB4BB76EA1A}" name="Name"/>
    <tableColumn id="2" xr3:uid="{BC0B3AE2-B791-42D0-87DD-7ACF509555C2}" name="Age" dataDxfId="8"/>
    <tableColumn id="3" xr3:uid="{18303A77-DB19-4F01-BC8D-3B7DBDE72F79}" name="Gender"/>
    <tableColumn id="4" xr3:uid="{C47591D7-782A-4460-9B61-EEDE1839E9D7}" name="Department"/>
    <tableColumn id="5" xr3:uid="{987E580F-440D-4293-9179-BAB3A383389B}" name="Salary (£)"/>
    <tableColumn id="6" xr3:uid="{72D3F9F5-8851-4C30-9132-6653ED649F1A}" name="Years in Company"/>
    <tableColumn id="7" xr3:uid="{C6416BD9-963D-44FE-9A2A-2E5C6C05C72B}" name="Performance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E3623-6D71-FE48-8A1E-E475D1BE85FA}" name="GCSEGradesTable" displayName="GCSEGradesTable" ref="J23:R73">
  <autoFilter ref="J23:R73" xr:uid="{4CCE3623-6D71-FE48-8A1E-E475D1BE85FA}"/>
  <tableColumns count="9">
    <tableColumn id="1" xr3:uid="{52143C0D-BC99-004F-91E9-3463EE9CC1A2}" name="Name"/>
    <tableColumn id="2" xr3:uid="{2A1DCF07-B621-AD4A-9BD1-45C8B41AD836}" name="English" dataDxfId="7"/>
    <tableColumn id="3" xr3:uid="{14D2A56D-E55D-8F4B-804C-138E6CEE3660}" name="Maths" dataDxfId="6"/>
    <tableColumn id="4" xr3:uid="{B5784418-A6D4-334E-828B-C61F60998A88}" name="Science" dataDxfId="5"/>
    <tableColumn id="5" xr3:uid="{560B092E-5033-A049-89B8-CA78819CC760}" name="History" dataDxfId="4"/>
    <tableColumn id="6" xr3:uid="{B81A5E64-F988-E744-A9AB-B18294E78BF2}" name="Geography" dataDxfId="3"/>
    <tableColumn id="7" xr3:uid="{918A3D7A-6A76-8C49-B704-74A166ACDE3E}" name="French" dataDxfId="2"/>
    <tableColumn id="8" xr3:uid="{D8E1D7E6-AB23-C244-83F7-D3909152EF63}" name="Art" dataDxfId="1"/>
    <tableColumn id="9" xr3:uid="{966F8F0F-FE73-9746-A08B-13863181A7F2}" name="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200D-1F90-41C9-AFF9-CBAE18985F2D}">
  <dimension ref="A1:K61"/>
  <sheetViews>
    <sheetView workbookViewId="0">
      <selection activeCell="J2" sqref="J2:K2"/>
    </sheetView>
  </sheetViews>
  <sheetFormatPr defaultColWidth="9.140625" defaultRowHeight="14.45"/>
  <cols>
    <col min="1" max="3" width="9.140625" style="3"/>
    <col min="4" max="8" width="9.140625" style="1"/>
    <col min="9" max="9" width="14.42578125" style="1" customWidth="1"/>
    <col min="10" max="10" width="26.42578125" style="1" customWidth="1"/>
    <col min="11" max="16384" width="9.140625" style="1"/>
  </cols>
  <sheetData>
    <row r="1" spans="1:11" ht="23.45">
      <c r="A1" s="2" t="s">
        <v>0</v>
      </c>
      <c r="I1" s="15" t="s">
        <v>1</v>
      </c>
      <c r="J1" s="40" t="s">
        <v>2</v>
      </c>
      <c r="K1" s="41"/>
    </row>
    <row r="2" spans="1:11" ht="23.45">
      <c r="A2" s="2"/>
      <c r="I2" s="15" t="s">
        <v>3</v>
      </c>
      <c r="J2" s="42" t="s">
        <v>4</v>
      </c>
      <c r="K2" s="43"/>
    </row>
    <row r="3" spans="1:11" ht="23.45">
      <c r="A3" s="2" t="s">
        <v>5</v>
      </c>
    </row>
    <row r="4" spans="1:11" ht="23.45">
      <c r="A4" s="2"/>
    </row>
    <row r="5" spans="1:11" ht="23.45">
      <c r="A5" s="2" t="s">
        <v>6</v>
      </c>
    </row>
    <row r="6" spans="1:11">
      <c r="A6" s="3" t="s">
        <v>7</v>
      </c>
    </row>
    <row r="7" spans="1:11">
      <c r="A7" s="3" t="s">
        <v>8</v>
      </c>
    </row>
    <row r="8" spans="1:11" ht="18.600000000000001">
      <c r="E8" s="14" t="s">
        <v>9</v>
      </c>
    </row>
    <row r="10" spans="1:11" ht="23.45">
      <c r="A10" s="2" t="s">
        <v>10</v>
      </c>
    </row>
    <row r="11" spans="1:11">
      <c r="A11" s="3" t="s">
        <v>11</v>
      </c>
    </row>
    <row r="12" spans="1:11">
      <c r="A12" s="3" t="s">
        <v>12</v>
      </c>
    </row>
    <row r="13" spans="1:11">
      <c r="A13" s="3" t="s">
        <v>13</v>
      </c>
    </row>
    <row r="14" spans="1:11">
      <c r="A14" s="3" t="s">
        <v>14</v>
      </c>
    </row>
    <row r="15" spans="1:11">
      <c r="A15" s="3" t="s">
        <v>15</v>
      </c>
    </row>
    <row r="16" spans="1:11">
      <c r="A16" s="3" t="s">
        <v>16</v>
      </c>
    </row>
    <row r="17" spans="1:5">
      <c r="A17" s="3" t="s">
        <v>17</v>
      </c>
    </row>
    <row r="18" spans="1:5">
      <c r="A18" s="16" t="s">
        <v>18</v>
      </c>
    </row>
    <row r="19" spans="1:5" ht="18.600000000000001">
      <c r="E19" s="14" t="s">
        <v>19</v>
      </c>
    </row>
    <row r="20" spans="1:5" ht="23.45">
      <c r="A20" s="2" t="s">
        <v>20</v>
      </c>
    </row>
    <row r="21" spans="1:5">
      <c r="A21" s="13" t="s">
        <v>21</v>
      </c>
    </row>
    <row r="22" spans="1:5">
      <c r="A22" s="3" t="s">
        <v>22</v>
      </c>
      <c r="C22" s="1"/>
    </row>
    <row r="23" spans="1:5">
      <c r="A23" s="3" t="s">
        <v>23</v>
      </c>
      <c r="C23" s="1"/>
    </row>
    <row r="24" spans="1:5" ht="18.600000000000001">
      <c r="A24" s="4"/>
      <c r="E24" s="14" t="s">
        <v>24</v>
      </c>
    </row>
    <row r="25" spans="1:5" ht="23.45">
      <c r="A25" s="2" t="s">
        <v>25</v>
      </c>
    </row>
    <row r="26" spans="1:5">
      <c r="A26" s="13" t="s">
        <v>21</v>
      </c>
    </row>
    <row r="27" spans="1:5">
      <c r="A27" s="13" t="s">
        <v>26</v>
      </c>
    </row>
    <row r="28" spans="1:5">
      <c r="A28" s="16" t="s">
        <v>27</v>
      </c>
      <c r="C28" s="1"/>
    </row>
    <row r="29" spans="1:5">
      <c r="A29" s="3" t="s">
        <v>28</v>
      </c>
    </row>
    <row r="30" spans="1:5" ht="18.600000000000001">
      <c r="E30" s="14" t="s">
        <v>29</v>
      </c>
    </row>
    <row r="31" spans="1:5" ht="15.95">
      <c r="A31" s="4"/>
    </row>
    <row r="32" spans="1:5" ht="23.45">
      <c r="A32" s="2" t="s">
        <v>30</v>
      </c>
    </row>
    <row r="33" spans="1:5">
      <c r="A33" s="13" t="s">
        <v>21</v>
      </c>
    </row>
    <row r="34" spans="1:5">
      <c r="A34" s="3" t="s">
        <v>31</v>
      </c>
    </row>
    <row r="35" spans="1:5">
      <c r="A35" s="3" t="s">
        <v>32</v>
      </c>
    </row>
    <row r="36" spans="1:5">
      <c r="A36" s="3" t="s">
        <v>33</v>
      </c>
    </row>
    <row r="37" spans="1:5">
      <c r="A37" s="3" t="s">
        <v>34</v>
      </c>
    </row>
    <row r="38" spans="1:5">
      <c r="A38" s="3" t="s">
        <v>35</v>
      </c>
    </row>
    <row r="39" spans="1:5">
      <c r="A39" s="3" t="s">
        <v>36</v>
      </c>
    </row>
    <row r="40" spans="1:5">
      <c r="A40" s="3" t="s">
        <v>37</v>
      </c>
    </row>
    <row r="41" spans="1:5" ht="18.600000000000001">
      <c r="E41" s="14" t="s">
        <v>38</v>
      </c>
    </row>
    <row r="43" spans="1:5" ht="23.45">
      <c r="A43" s="2" t="s">
        <v>39</v>
      </c>
    </row>
    <row r="44" spans="1:5">
      <c r="A44" s="13" t="s">
        <v>21</v>
      </c>
    </row>
    <row r="45" spans="1:5">
      <c r="A45" s="3" t="s">
        <v>40</v>
      </c>
    </row>
    <row r="46" spans="1:5" ht="18.600000000000001">
      <c r="E46" s="14" t="s">
        <v>41</v>
      </c>
    </row>
    <row r="48" spans="1:5" ht="23.45">
      <c r="A48" s="2" t="s">
        <v>42</v>
      </c>
      <c r="B48" s="1"/>
    </row>
    <row r="49" spans="1:5">
      <c r="A49" s="13" t="s">
        <v>21</v>
      </c>
      <c r="B49" s="1"/>
    </row>
    <row r="50" spans="1:5">
      <c r="A50" s="16" t="s">
        <v>43</v>
      </c>
    </row>
    <row r="51" spans="1:5">
      <c r="A51" s="3" t="s">
        <v>44</v>
      </c>
    </row>
    <row r="52" spans="1:5">
      <c r="A52" s="3" t="s">
        <v>45</v>
      </c>
    </row>
    <row r="53" spans="1:5">
      <c r="A53" s="3" t="s">
        <v>46</v>
      </c>
    </row>
    <row r="54" spans="1:5">
      <c r="A54" s="3" t="s">
        <v>47</v>
      </c>
    </row>
    <row r="55" spans="1:5">
      <c r="A55" s="3" t="s">
        <v>48</v>
      </c>
    </row>
    <row r="56" spans="1:5" ht="18.600000000000001">
      <c r="E56" s="14" t="s">
        <v>49</v>
      </c>
    </row>
    <row r="58" spans="1:5" ht="23.45">
      <c r="A58" s="2" t="s">
        <v>50</v>
      </c>
      <c r="B58" s="1"/>
    </row>
    <row r="59" spans="1:5">
      <c r="A59" s="13" t="s">
        <v>51</v>
      </c>
      <c r="B59" s="1"/>
    </row>
    <row r="60" spans="1:5">
      <c r="A60" s="16" t="s">
        <v>52</v>
      </c>
    </row>
    <row r="61" spans="1:5" ht="18.600000000000001">
      <c r="E61" s="14" t="s">
        <v>53</v>
      </c>
    </row>
  </sheetData>
  <mergeCells count="2">
    <mergeCell ref="J1:K1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E9F5-513B-4403-A7E2-FEDA11A61369}">
  <dimension ref="A1:M102"/>
  <sheetViews>
    <sheetView workbookViewId="0">
      <selection activeCell="J2" sqref="J2:M7"/>
    </sheetView>
  </sheetViews>
  <sheetFormatPr defaultColWidth="8.85546875" defaultRowHeight="14.45"/>
  <cols>
    <col min="1" max="1" width="18.28515625" bestFit="1" customWidth="1"/>
    <col min="2" max="2" width="6.7109375" bestFit="1" customWidth="1"/>
    <col min="3" max="3" width="10" bestFit="1" customWidth="1"/>
    <col min="4" max="4" width="32.42578125" bestFit="1" customWidth="1"/>
    <col min="5" max="5" width="11.85546875" bestFit="1" customWidth="1"/>
    <col min="6" max="6" width="19.42578125" bestFit="1" customWidth="1"/>
    <col min="7" max="7" width="20.7109375" bestFit="1" customWidth="1"/>
  </cols>
  <sheetData>
    <row r="1" spans="1:13" ht="15" thickBot="1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  <c r="J1" s="44" t="s">
        <v>57</v>
      </c>
      <c r="K1" s="45"/>
    </row>
    <row r="2" spans="1:13" ht="15">
      <c r="A2" t="s">
        <v>58</v>
      </c>
      <c r="B2">
        <v>38</v>
      </c>
      <c r="C2" t="s">
        <v>59</v>
      </c>
      <c r="D2" t="s">
        <v>60</v>
      </c>
      <c r="E2">
        <v>32600</v>
      </c>
      <c r="F2">
        <v>9</v>
      </c>
      <c r="G2">
        <v>4</v>
      </c>
      <c r="J2" s="31" t="s">
        <v>61</v>
      </c>
      <c r="K2" s="32"/>
      <c r="L2" s="32"/>
      <c r="M2" s="33"/>
    </row>
    <row r="3" spans="1:13" ht="15">
      <c r="A3" t="s">
        <v>62</v>
      </c>
      <c r="B3">
        <v>35</v>
      </c>
      <c r="C3" t="s">
        <v>59</v>
      </c>
      <c r="D3" t="s">
        <v>60</v>
      </c>
      <c r="E3">
        <v>51000</v>
      </c>
      <c r="F3">
        <v>10</v>
      </c>
      <c r="G3">
        <v>8</v>
      </c>
      <c r="J3" s="34"/>
      <c r="K3" s="35"/>
      <c r="L3" s="35"/>
      <c r="M3" s="36"/>
    </row>
    <row r="4" spans="1:13" ht="15">
      <c r="A4" t="s">
        <v>63</v>
      </c>
      <c r="B4">
        <v>40</v>
      </c>
      <c r="C4" t="s">
        <v>59</v>
      </c>
      <c r="D4" t="s">
        <v>64</v>
      </c>
      <c r="E4">
        <v>27800</v>
      </c>
      <c r="F4">
        <v>0</v>
      </c>
      <c r="G4">
        <v>4</v>
      </c>
      <c r="J4" s="34"/>
      <c r="K4" s="35"/>
      <c r="L4" s="35"/>
      <c r="M4" s="36"/>
    </row>
    <row r="5" spans="1:13" ht="15">
      <c r="A5" t="s">
        <v>65</v>
      </c>
      <c r="B5">
        <v>43</v>
      </c>
      <c r="C5" t="s">
        <v>59</v>
      </c>
      <c r="D5" t="s">
        <v>64</v>
      </c>
      <c r="E5">
        <v>28700</v>
      </c>
      <c r="F5">
        <v>14</v>
      </c>
      <c r="G5">
        <v>9</v>
      </c>
      <c r="J5" s="34"/>
      <c r="K5" s="35"/>
      <c r="L5" s="35"/>
      <c r="M5" s="36"/>
    </row>
    <row r="6" spans="1:13" ht="15">
      <c r="A6" t="s">
        <v>66</v>
      </c>
      <c r="B6">
        <v>62</v>
      </c>
      <c r="C6" t="s">
        <v>59</v>
      </c>
      <c r="D6" t="s">
        <v>67</v>
      </c>
      <c r="E6">
        <v>15500</v>
      </c>
      <c r="F6">
        <v>17</v>
      </c>
      <c r="G6">
        <v>3</v>
      </c>
      <c r="J6" s="34"/>
      <c r="K6" s="35"/>
      <c r="L6" s="35"/>
      <c r="M6" s="36"/>
    </row>
    <row r="7" spans="1:13" ht="15" thickBot="1">
      <c r="A7" t="s">
        <v>68</v>
      </c>
      <c r="B7">
        <v>49</v>
      </c>
      <c r="C7" t="s">
        <v>69</v>
      </c>
      <c r="D7" t="s">
        <v>60</v>
      </c>
      <c r="E7">
        <v>25200</v>
      </c>
      <c r="F7">
        <v>3</v>
      </c>
      <c r="G7">
        <v>8</v>
      </c>
      <c r="J7" s="37"/>
      <c r="K7" s="38"/>
      <c r="L7" s="38"/>
      <c r="M7" s="39"/>
    </row>
    <row r="8" spans="1:13" ht="15">
      <c r="A8" t="s">
        <v>70</v>
      </c>
      <c r="B8">
        <v>52</v>
      </c>
      <c r="C8" t="s">
        <v>59</v>
      </c>
      <c r="D8" t="s">
        <v>64</v>
      </c>
      <c r="E8">
        <v>39100</v>
      </c>
      <c r="F8">
        <v>2</v>
      </c>
      <c r="G8">
        <v>7</v>
      </c>
    </row>
    <row r="9" spans="1:13" ht="15">
      <c r="A9" t="s">
        <v>71</v>
      </c>
      <c r="B9" t="s">
        <v>72</v>
      </c>
      <c r="C9" t="s">
        <v>59</v>
      </c>
      <c r="D9" t="s">
        <v>64</v>
      </c>
      <c r="E9">
        <v>35600</v>
      </c>
      <c r="F9">
        <v>4</v>
      </c>
      <c r="G9">
        <v>4</v>
      </c>
    </row>
    <row r="10" spans="1:13" ht="15">
      <c r="A10" t="s">
        <v>73</v>
      </c>
      <c r="B10">
        <v>35</v>
      </c>
      <c r="C10" t="s">
        <v>59</v>
      </c>
      <c r="D10" t="s">
        <v>60</v>
      </c>
      <c r="E10">
        <v>51400</v>
      </c>
      <c r="F10">
        <v>3</v>
      </c>
      <c r="G10">
        <v>5</v>
      </c>
    </row>
    <row r="11" spans="1:13" ht="15">
      <c r="A11" t="s">
        <v>74</v>
      </c>
      <c r="B11">
        <v>33</v>
      </c>
      <c r="C11" t="s">
        <v>59</v>
      </c>
      <c r="D11" t="s">
        <v>60</v>
      </c>
      <c r="E11">
        <v>43300</v>
      </c>
      <c r="F11">
        <v>6</v>
      </c>
      <c r="G11">
        <v>2</v>
      </c>
    </row>
    <row r="12" spans="1:13" ht="15">
      <c r="A12" t="s">
        <v>75</v>
      </c>
      <c r="B12">
        <v>55</v>
      </c>
      <c r="C12" t="s">
        <v>59</v>
      </c>
      <c r="D12" t="s">
        <v>60</v>
      </c>
      <c r="E12">
        <v>46100</v>
      </c>
      <c r="F12">
        <v>3</v>
      </c>
      <c r="G12">
        <v>10</v>
      </c>
    </row>
    <row r="13" spans="1:13" ht="15">
      <c r="A13" t="s">
        <v>76</v>
      </c>
      <c r="B13">
        <v>34</v>
      </c>
      <c r="C13" t="s">
        <v>59</v>
      </c>
      <c r="D13" t="s">
        <v>77</v>
      </c>
      <c r="E13">
        <v>41100</v>
      </c>
      <c r="F13">
        <v>4</v>
      </c>
      <c r="G13">
        <v>1</v>
      </c>
    </row>
    <row r="14" spans="1:13" ht="15">
      <c r="A14" t="s">
        <v>78</v>
      </c>
      <c r="B14">
        <v>40</v>
      </c>
      <c r="C14" t="s">
        <v>59</v>
      </c>
      <c r="D14" t="s">
        <v>60</v>
      </c>
      <c r="E14">
        <v>37500</v>
      </c>
      <c r="F14">
        <v>7</v>
      </c>
      <c r="G14">
        <v>1</v>
      </c>
    </row>
    <row r="15" spans="1:13" ht="15">
      <c r="A15" t="s">
        <v>79</v>
      </c>
      <c r="B15">
        <v>34</v>
      </c>
      <c r="C15" t="s">
        <v>59</v>
      </c>
      <c r="D15" t="s">
        <v>80</v>
      </c>
      <c r="E15">
        <v>41000</v>
      </c>
      <c r="F15">
        <v>3</v>
      </c>
      <c r="G15">
        <v>2</v>
      </c>
    </row>
    <row r="16" spans="1:13" ht="15">
      <c r="A16" t="s">
        <v>81</v>
      </c>
      <c r="B16">
        <v>56</v>
      </c>
      <c r="C16" t="s">
        <v>69</v>
      </c>
      <c r="D16" t="s">
        <v>60</v>
      </c>
      <c r="E16">
        <v>48000</v>
      </c>
      <c r="F16">
        <v>6</v>
      </c>
      <c r="G16">
        <v>8</v>
      </c>
    </row>
    <row r="17" spans="1:7" ht="15">
      <c r="A17" t="s">
        <v>82</v>
      </c>
      <c r="B17">
        <v>35</v>
      </c>
      <c r="C17" t="s">
        <v>59</v>
      </c>
      <c r="D17" t="s">
        <v>60</v>
      </c>
      <c r="E17">
        <v>64100</v>
      </c>
      <c r="F17">
        <v>1</v>
      </c>
      <c r="G17">
        <v>8</v>
      </c>
    </row>
    <row r="18" spans="1:7" ht="15">
      <c r="A18" t="s">
        <v>83</v>
      </c>
      <c r="B18">
        <v>43</v>
      </c>
      <c r="C18" t="s">
        <v>59</v>
      </c>
      <c r="D18" t="s">
        <v>80</v>
      </c>
      <c r="E18">
        <v>56400</v>
      </c>
      <c r="F18">
        <v>11</v>
      </c>
      <c r="G18">
        <v>1</v>
      </c>
    </row>
    <row r="19" spans="1:7" ht="15">
      <c r="A19" t="s">
        <v>84</v>
      </c>
      <c r="B19">
        <v>31</v>
      </c>
      <c r="C19" t="s">
        <v>59</v>
      </c>
      <c r="D19" t="s">
        <v>60</v>
      </c>
      <c r="E19">
        <v>37000</v>
      </c>
      <c r="F19">
        <v>31</v>
      </c>
      <c r="G19">
        <v>8</v>
      </c>
    </row>
    <row r="20" spans="1:7" ht="15">
      <c r="A20" t="s">
        <v>85</v>
      </c>
      <c r="B20">
        <v>37</v>
      </c>
      <c r="C20" t="s">
        <v>59</v>
      </c>
      <c r="D20" t="s">
        <v>60</v>
      </c>
      <c r="E20">
        <v>44300</v>
      </c>
      <c r="F20">
        <v>10</v>
      </c>
      <c r="G20">
        <v>3</v>
      </c>
    </row>
    <row r="21" spans="1:7" ht="15">
      <c r="A21" t="s">
        <v>86</v>
      </c>
      <c r="B21">
        <v>29</v>
      </c>
      <c r="C21" t="s">
        <v>59</v>
      </c>
      <c r="D21" t="s">
        <v>60</v>
      </c>
      <c r="E21">
        <v>28000</v>
      </c>
      <c r="F21">
        <v>5</v>
      </c>
      <c r="G21">
        <v>8</v>
      </c>
    </row>
    <row r="22" spans="1:7" ht="15">
      <c r="A22" t="s">
        <v>87</v>
      </c>
      <c r="B22">
        <v>60</v>
      </c>
      <c r="C22" t="s">
        <v>59</v>
      </c>
      <c r="D22" t="s">
        <v>60</v>
      </c>
      <c r="E22">
        <v>38200</v>
      </c>
      <c r="F22">
        <v>6</v>
      </c>
      <c r="G22">
        <v>3</v>
      </c>
    </row>
    <row r="23" spans="1:7" ht="15">
      <c r="A23" t="s">
        <v>88</v>
      </c>
      <c r="B23" t="s">
        <v>89</v>
      </c>
      <c r="C23" t="s">
        <v>59</v>
      </c>
      <c r="D23" t="s">
        <v>60</v>
      </c>
      <c r="E23">
        <v>47200</v>
      </c>
      <c r="F23">
        <v>5</v>
      </c>
      <c r="G23">
        <v>8</v>
      </c>
    </row>
    <row r="24" spans="1:7" ht="15">
      <c r="A24" t="s">
        <v>90</v>
      </c>
      <c r="B24">
        <v>46</v>
      </c>
      <c r="C24" t="s">
        <v>59</v>
      </c>
      <c r="D24" t="s">
        <v>64</v>
      </c>
      <c r="E24">
        <v>31500</v>
      </c>
      <c r="F24">
        <v>2</v>
      </c>
      <c r="G24">
        <v>1</v>
      </c>
    </row>
    <row r="25" spans="1:7" ht="15">
      <c r="A25" t="s">
        <v>91</v>
      </c>
      <c r="B25">
        <v>42</v>
      </c>
      <c r="C25" t="s">
        <v>59</v>
      </c>
      <c r="D25" t="s">
        <v>92</v>
      </c>
      <c r="E25">
        <v>24200</v>
      </c>
      <c r="F25">
        <v>4</v>
      </c>
      <c r="G25">
        <v>8</v>
      </c>
    </row>
    <row r="26" spans="1:7" ht="15">
      <c r="A26" t="s">
        <v>93</v>
      </c>
      <c r="B26">
        <v>43</v>
      </c>
      <c r="C26" t="s">
        <v>59</v>
      </c>
      <c r="D26" t="s">
        <v>60</v>
      </c>
      <c r="E26">
        <v>55100</v>
      </c>
      <c r="F26">
        <v>10</v>
      </c>
      <c r="G26">
        <v>1</v>
      </c>
    </row>
    <row r="27" spans="1:7" ht="15">
      <c r="A27" t="s">
        <v>94</v>
      </c>
      <c r="B27">
        <v>54</v>
      </c>
      <c r="C27" t="s">
        <v>59</v>
      </c>
      <c r="D27" t="s">
        <v>77</v>
      </c>
      <c r="E27">
        <v>37600</v>
      </c>
      <c r="F27">
        <v>15</v>
      </c>
      <c r="G27">
        <v>6</v>
      </c>
    </row>
    <row r="28" spans="1:7" ht="15">
      <c r="A28" t="s">
        <v>95</v>
      </c>
      <c r="B28">
        <v>48</v>
      </c>
      <c r="C28" t="s">
        <v>59</v>
      </c>
      <c r="D28" t="s">
        <v>92</v>
      </c>
      <c r="E28">
        <v>27100</v>
      </c>
      <c r="F28">
        <v>2</v>
      </c>
      <c r="G28">
        <v>3</v>
      </c>
    </row>
    <row r="29" spans="1:7" ht="15">
      <c r="A29" t="s">
        <v>96</v>
      </c>
      <c r="B29">
        <v>52</v>
      </c>
      <c r="C29" t="s">
        <v>59</v>
      </c>
      <c r="D29" t="s">
        <v>64</v>
      </c>
      <c r="E29">
        <v>45400</v>
      </c>
      <c r="F29">
        <v>2</v>
      </c>
      <c r="G29">
        <v>2</v>
      </c>
    </row>
    <row r="30" spans="1:7" ht="15">
      <c r="A30" t="s">
        <v>97</v>
      </c>
      <c r="B30">
        <v>42</v>
      </c>
      <c r="C30" t="s">
        <v>59</v>
      </c>
      <c r="D30" t="s">
        <v>60</v>
      </c>
      <c r="E30">
        <v>50800</v>
      </c>
      <c r="F30">
        <v>6</v>
      </c>
      <c r="G30">
        <v>8</v>
      </c>
    </row>
    <row r="31" spans="1:7" ht="15">
      <c r="A31" t="s">
        <v>98</v>
      </c>
      <c r="B31">
        <v>39</v>
      </c>
      <c r="C31" t="s">
        <v>59</v>
      </c>
      <c r="D31" t="s">
        <v>64</v>
      </c>
      <c r="E31">
        <v>31000</v>
      </c>
      <c r="F31">
        <v>44</v>
      </c>
      <c r="G31">
        <v>6</v>
      </c>
    </row>
    <row r="32" spans="1:7" ht="15">
      <c r="A32" t="s">
        <v>99</v>
      </c>
      <c r="B32">
        <v>42</v>
      </c>
      <c r="C32" t="s">
        <v>59</v>
      </c>
      <c r="D32" t="s">
        <v>92</v>
      </c>
      <c r="E32">
        <v>23000</v>
      </c>
      <c r="F32">
        <v>3</v>
      </c>
      <c r="G32">
        <v>10</v>
      </c>
    </row>
    <row r="33" spans="1:7" ht="15">
      <c r="A33" t="s">
        <v>100</v>
      </c>
      <c r="B33">
        <v>46</v>
      </c>
      <c r="C33" t="s">
        <v>59</v>
      </c>
      <c r="D33" t="s">
        <v>60</v>
      </c>
      <c r="E33">
        <v>53200</v>
      </c>
      <c r="F33">
        <v>11</v>
      </c>
      <c r="G33">
        <v>11</v>
      </c>
    </row>
    <row r="34" spans="1:7" ht="15">
      <c r="A34" t="s">
        <v>101</v>
      </c>
      <c r="B34">
        <v>53</v>
      </c>
      <c r="C34" t="s">
        <v>59</v>
      </c>
      <c r="D34" t="s">
        <v>64</v>
      </c>
      <c r="E34">
        <v>39100</v>
      </c>
      <c r="F34">
        <v>7</v>
      </c>
      <c r="G34">
        <v>1</v>
      </c>
    </row>
    <row r="35" spans="1:7" ht="15">
      <c r="A35" t="s">
        <v>102</v>
      </c>
      <c r="B35">
        <v>40</v>
      </c>
      <c r="C35" t="s">
        <v>59</v>
      </c>
      <c r="D35" t="s">
        <v>60</v>
      </c>
      <c r="E35">
        <v>41500</v>
      </c>
      <c r="F35">
        <v>9</v>
      </c>
      <c r="G35">
        <v>9</v>
      </c>
    </row>
    <row r="36" spans="1:7" ht="15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</row>
    <row r="37" spans="1:7" ht="15">
      <c r="A37" t="s">
        <v>104</v>
      </c>
      <c r="B37">
        <v>61</v>
      </c>
      <c r="C37" t="s">
        <v>59</v>
      </c>
      <c r="D37" t="s">
        <v>64</v>
      </c>
      <c r="E37">
        <v>35500</v>
      </c>
      <c r="F37">
        <v>0</v>
      </c>
      <c r="G37">
        <v>10</v>
      </c>
    </row>
    <row r="38" spans="1:7" ht="15">
      <c r="A38" t="s">
        <v>105</v>
      </c>
      <c r="B38">
        <v>44</v>
      </c>
      <c r="C38" t="s">
        <v>59</v>
      </c>
      <c r="D38" t="s">
        <v>64</v>
      </c>
      <c r="E38">
        <v>46100</v>
      </c>
      <c r="F38">
        <v>0</v>
      </c>
      <c r="G38">
        <v>9</v>
      </c>
    </row>
    <row r="39" spans="1:7" ht="15">
      <c r="A39" t="s">
        <v>106</v>
      </c>
      <c r="B39">
        <v>48</v>
      </c>
      <c r="C39" t="s">
        <v>59</v>
      </c>
      <c r="D39" t="s">
        <v>60</v>
      </c>
      <c r="E39">
        <v>37300</v>
      </c>
      <c r="F39">
        <v>4</v>
      </c>
      <c r="G39">
        <v>7</v>
      </c>
    </row>
    <row r="40" spans="1:7" ht="15">
      <c r="A40" t="s">
        <v>107</v>
      </c>
      <c r="B40">
        <v>38</v>
      </c>
      <c r="C40" t="s">
        <v>59</v>
      </c>
      <c r="D40" t="s">
        <v>108</v>
      </c>
      <c r="E40">
        <v>62600</v>
      </c>
      <c r="F40">
        <v>0</v>
      </c>
      <c r="G40">
        <v>4</v>
      </c>
    </row>
    <row r="41" spans="1:7" ht="15">
      <c r="A41" t="s">
        <v>109</v>
      </c>
      <c r="B41">
        <v>31</v>
      </c>
      <c r="C41" t="s">
        <v>59</v>
      </c>
      <c r="D41" t="s">
        <v>64</v>
      </c>
      <c r="E41">
        <v>29400</v>
      </c>
      <c r="F41">
        <v>12</v>
      </c>
      <c r="G41">
        <v>4</v>
      </c>
    </row>
    <row r="42" spans="1:7" ht="15">
      <c r="A42" t="s">
        <v>110</v>
      </c>
      <c r="B42">
        <v>54</v>
      </c>
      <c r="C42" t="s">
        <v>59</v>
      </c>
      <c r="D42" t="s">
        <v>60</v>
      </c>
      <c r="E42">
        <v>53200</v>
      </c>
      <c r="F42">
        <v>2</v>
      </c>
      <c r="G42">
        <v>3</v>
      </c>
    </row>
    <row r="43" spans="1:7" ht="15">
      <c r="A43" t="s">
        <v>111</v>
      </c>
      <c r="B43">
        <v>52</v>
      </c>
      <c r="C43" t="s">
        <v>59</v>
      </c>
      <c r="D43" t="s">
        <v>80</v>
      </c>
      <c r="E43">
        <v>45600</v>
      </c>
      <c r="F43">
        <v>4</v>
      </c>
      <c r="G43">
        <v>9</v>
      </c>
    </row>
    <row r="44" spans="1:7" ht="15">
      <c r="A44" t="s">
        <v>112</v>
      </c>
      <c r="B44" t="s">
        <v>89</v>
      </c>
      <c r="C44" t="s">
        <v>59</v>
      </c>
      <c r="D44" t="s">
        <v>77</v>
      </c>
      <c r="E44">
        <v>45400</v>
      </c>
      <c r="F44">
        <v>5</v>
      </c>
      <c r="G44">
        <v>1</v>
      </c>
    </row>
    <row r="45" spans="1:7" ht="15">
      <c r="A45" t="s">
        <v>113</v>
      </c>
      <c r="B45">
        <v>54</v>
      </c>
      <c r="C45" t="s">
        <v>59</v>
      </c>
      <c r="D45" t="s">
        <v>67</v>
      </c>
      <c r="E45">
        <v>30500</v>
      </c>
      <c r="F45">
        <v>11</v>
      </c>
      <c r="G45">
        <v>8</v>
      </c>
    </row>
    <row r="46" spans="1:7" ht="15">
      <c r="A46" t="s">
        <v>114</v>
      </c>
      <c r="B46">
        <v>49</v>
      </c>
      <c r="C46" t="s">
        <v>59</v>
      </c>
      <c r="D46" t="s">
        <v>77</v>
      </c>
      <c r="E46">
        <v>51500</v>
      </c>
      <c r="F46">
        <v>0</v>
      </c>
      <c r="G46">
        <v>1</v>
      </c>
    </row>
    <row r="47" spans="1:7" ht="15">
      <c r="A47" t="s">
        <v>115</v>
      </c>
      <c r="B47">
        <v>42</v>
      </c>
      <c r="C47" t="s">
        <v>59</v>
      </c>
      <c r="D47" t="s">
        <v>80</v>
      </c>
      <c r="E47">
        <v>48700</v>
      </c>
      <c r="F47">
        <v>4</v>
      </c>
      <c r="G47">
        <v>1</v>
      </c>
    </row>
    <row r="48" spans="1:7" ht="15">
      <c r="A48" t="s">
        <v>116</v>
      </c>
      <c r="B48">
        <v>55</v>
      </c>
      <c r="C48" t="s">
        <v>59</v>
      </c>
      <c r="D48" t="s">
        <v>60</v>
      </c>
      <c r="E48">
        <v>34200</v>
      </c>
      <c r="F48">
        <v>4</v>
      </c>
      <c r="G48">
        <v>6</v>
      </c>
    </row>
    <row r="49" spans="1:7" ht="15">
      <c r="A49" t="s">
        <v>117</v>
      </c>
      <c r="B49">
        <v>47</v>
      </c>
      <c r="C49" t="s">
        <v>59</v>
      </c>
      <c r="D49" t="s">
        <v>60</v>
      </c>
      <c r="E49">
        <v>53400</v>
      </c>
      <c r="F49">
        <v>8</v>
      </c>
      <c r="G49">
        <v>1</v>
      </c>
    </row>
    <row r="50" spans="1:7" ht="15">
      <c r="A50" t="s">
        <v>118</v>
      </c>
      <c r="B50">
        <v>43</v>
      </c>
      <c r="C50" t="s">
        <v>59</v>
      </c>
      <c r="D50" t="s">
        <v>67</v>
      </c>
      <c r="E50">
        <v>33700</v>
      </c>
      <c r="F50">
        <v>3</v>
      </c>
      <c r="G50">
        <v>8</v>
      </c>
    </row>
    <row r="51" spans="1:7" ht="15">
      <c r="A51" t="s">
        <v>119</v>
      </c>
      <c r="B51">
        <v>48</v>
      </c>
      <c r="C51" t="s">
        <v>59</v>
      </c>
      <c r="D51" t="s">
        <v>64</v>
      </c>
      <c r="E51">
        <v>19900</v>
      </c>
      <c r="F51">
        <v>7</v>
      </c>
      <c r="G51">
        <v>6</v>
      </c>
    </row>
    <row r="52" spans="1:7" ht="15">
      <c r="A52" t="s">
        <v>120</v>
      </c>
      <c r="B52">
        <v>35</v>
      </c>
      <c r="C52" t="s">
        <v>59</v>
      </c>
      <c r="D52" t="s">
        <v>80</v>
      </c>
      <c r="E52">
        <v>32700</v>
      </c>
      <c r="F52">
        <v>0</v>
      </c>
      <c r="G52">
        <v>3</v>
      </c>
    </row>
    <row r="53" spans="1:7" ht="15">
      <c r="A53" t="s">
        <v>121</v>
      </c>
      <c r="B53">
        <v>33</v>
      </c>
      <c r="C53" t="s">
        <v>59</v>
      </c>
      <c r="D53" t="s">
        <v>80</v>
      </c>
      <c r="E53">
        <v>56600</v>
      </c>
      <c r="F53">
        <v>6</v>
      </c>
      <c r="G53">
        <v>9</v>
      </c>
    </row>
    <row r="54" spans="1:7" ht="15">
      <c r="A54" t="s">
        <v>122</v>
      </c>
      <c r="B54">
        <v>46</v>
      </c>
      <c r="C54" t="s">
        <v>59</v>
      </c>
      <c r="D54" t="s">
        <v>92</v>
      </c>
      <c r="E54">
        <v>23000</v>
      </c>
      <c r="F54">
        <v>2</v>
      </c>
      <c r="G54">
        <v>7</v>
      </c>
    </row>
    <row r="55" spans="1:7" ht="15">
      <c r="A55" t="s">
        <v>123</v>
      </c>
      <c r="B55">
        <v>46</v>
      </c>
      <c r="C55" t="s">
        <v>59</v>
      </c>
      <c r="D55" t="s">
        <v>108</v>
      </c>
      <c r="E55">
        <v>54500</v>
      </c>
      <c r="F55">
        <v>10</v>
      </c>
      <c r="G55">
        <v>5</v>
      </c>
    </row>
    <row r="56" spans="1:7" ht="15">
      <c r="A56" t="s">
        <v>124</v>
      </c>
      <c r="B56">
        <v>51</v>
      </c>
      <c r="C56" t="s">
        <v>59</v>
      </c>
      <c r="D56" t="s">
        <v>60</v>
      </c>
      <c r="E56">
        <v>46200</v>
      </c>
      <c r="F56">
        <v>8</v>
      </c>
      <c r="G56">
        <v>7</v>
      </c>
    </row>
    <row r="57" spans="1:7" ht="15">
      <c r="A57" t="s">
        <v>125</v>
      </c>
      <c r="B57">
        <v>44</v>
      </c>
      <c r="C57" t="s">
        <v>59</v>
      </c>
      <c r="D57" t="s">
        <v>67</v>
      </c>
      <c r="E57">
        <v>30200</v>
      </c>
      <c r="F57">
        <v>19</v>
      </c>
      <c r="G57">
        <v>1</v>
      </c>
    </row>
    <row r="58" spans="1:7" ht="15">
      <c r="A58" t="s">
        <v>126</v>
      </c>
      <c r="B58">
        <v>55</v>
      </c>
      <c r="C58" t="s">
        <v>59</v>
      </c>
      <c r="D58" t="s">
        <v>60</v>
      </c>
      <c r="E58">
        <v>59600</v>
      </c>
      <c r="F58">
        <v>13</v>
      </c>
      <c r="G58">
        <v>3</v>
      </c>
    </row>
    <row r="59" spans="1:7" ht="15">
      <c r="A59" t="s">
        <v>127</v>
      </c>
      <c r="B59">
        <v>57</v>
      </c>
      <c r="C59" t="s">
        <v>59</v>
      </c>
      <c r="D59" t="s">
        <v>67</v>
      </c>
      <c r="E59">
        <v>34800</v>
      </c>
      <c r="F59">
        <v>9</v>
      </c>
      <c r="G59">
        <v>2</v>
      </c>
    </row>
    <row r="60" spans="1:7" ht="15">
      <c r="A60" t="s">
        <v>128</v>
      </c>
      <c r="B60">
        <v>53</v>
      </c>
      <c r="C60" t="s">
        <v>59</v>
      </c>
      <c r="D60" t="s">
        <v>92</v>
      </c>
      <c r="E60">
        <v>28100</v>
      </c>
      <c r="F60">
        <v>5</v>
      </c>
      <c r="G60">
        <v>2</v>
      </c>
    </row>
    <row r="61" spans="1:7" ht="15">
      <c r="A61" t="s">
        <v>129</v>
      </c>
      <c r="B61">
        <v>57</v>
      </c>
      <c r="C61" t="s">
        <v>59</v>
      </c>
      <c r="D61" t="s">
        <v>64</v>
      </c>
      <c r="E61">
        <v>19300</v>
      </c>
      <c r="F61">
        <v>0</v>
      </c>
      <c r="G61">
        <v>4</v>
      </c>
    </row>
    <row r="62" spans="1:7" ht="15">
      <c r="A62" t="s">
        <v>130</v>
      </c>
      <c r="B62">
        <v>36</v>
      </c>
      <c r="C62" t="s">
        <v>131</v>
      </c>
      <c r="D62" t="s">
        <v>60</v>
      </c>
      <c r="E62">
        <v>45600</v>
      </c>
      <c r="F62">
        <v>17</v>
      </c>
      <c r="G62">
        <v>7</v>
      </c>
    </row>
    <row r="63" spans="1:7" ht="15">
      <c r="A63" t="s">
        <v>132</v>
      </c>
      <c r="B63">
        <v>42</v>
      </c>
      <c r="C63" t="s">
        <v>131</v>
      </c>
      <c r="D63" t="s">
        <v>67</v>
      </c>
      <c r="E63">
        <v>29700</v>
      </c>
      <c r="F63">
        <v>4</v>
      </c>
      <c r="G63">
        <v>4</v>
      </c>
    </row>
    <row r="64" spans="1:7" ht="15">
      <c r="A64" t="s">
        <v>133</v>
      </c>
      <c r="B64">
        <v>32</v>
      </c>
      <c r="C64" t="s">
        <v>131</v>
      </c>
      <c r="D64" t="s">
        <v>64</v>
      </c>
      <c r="E64">
        <v>41200</v>
      </c>
      <c r="F64">
        <v>0</v>
      </c>
      <c r="G64">
        <v>6</v>
      </c>
    </row>
    <row r="65" spans="1:7" ht="15">
      <c r="A65" t="s">
        <v>134</v>
      </c>
      <c r="B65">
        <v>50</v>
      </c>
      <c r="C65" t="s">
        <v>135</v>
      </c>
      <c r="D65" t="s">
        <v>64</v>
      </c>
      <c r="E65">
        <v>39800</v>
      </c>
      <c r="F65">
        <v>0</v>
      </c>
      <c r="G65">
        <v>5</v>
      </c>
    </row>
    <row r="66" spans="1:7" ht="15">
      <c r="A66" t="s">
        <v>136</v>
      </c>
      <c r="B66">
        <v>61</v>
      </c>
      <c r="C66" t="s">
        <v>131</v>
      </c>
      <c r="D66" t="s">
        <v>60</v>
      </c>
      <c r="E66">
        <v>59600</v>
      </c>
      <c r="F66">
        <v>8</v>
      </c>
      <c r="G66">
        <v>4</v>
      </c>
    </row>
    <row r="67" spans="1:7" ht="15">
      <c r="A67" t="s">
        <v>137</v>
      </c>
      <c r="B67">
        <v>52</v>
      </c>
      <c r="C67" t="s">
        <v>131</v>
      </c>
      <c r="D67" t="s">
        <v>64</v>
      </c>
      <c r="E67">
        <v>34900</v>
      </c>
      <c r="F67">
        <v>9</v>
      </c>
      <c r="G67">
        <v>5</v>
      </c>
    </row>
    <row r="68" spans="1:7" ht="15">
      <c r="A68" t="s">
        <v>138</v>
      </c>
      <c r="B68">
        <v>42</v>
      </c>
      <c r="C68" t="s">
        <v>131</v>
      </c>
      <c r="D68" t="s">
        <v>92</v>
      </c>
      <c r="E68">
        <v>18800</v>
      </c>
      <c r="F68">
        <v>3</v>
      </c>
      <c r="G68">
        <v>7</v>
      </c>
    </row>
    <row r="69" spans="1:7" ht="15">
      <c r="A69" t="s">
        <v>139</v>
      </c>
      <c r="B69" t="s">
        <v>140</v>
      </c>
      <c r="C69" t="s">
        <v>131</v>
      </c>
      <c r="D69" t="s">
        <v>60</v>
      </c>
      <c r="E69">
        <v>29500</v>
      </c>
      <c r="F69">
        <v>6</v>
      </c>
      <c r="G69">
        <v>4</v>
      </c>
    </row>
    <row r="70" spans="1:7" ht="15">
      <c r="A70" t="s">
        <v>141</v>
      </c>
      <c r="B70">
        <v>54</v>
      </c>
      <c r="C70" t="s">
        <v>131</v>
      </c>
      <c r="D70" t="s">
        <v>108</v>
      </c>
      <c r="E70">
        <v>64900</v>
      </c>
      <c r="F70">
        <v>0</v>
      </c>
      <c r="G70">
        <v>4</v>
      </c>
    </row>
    <row r="71" spans="1:7" ht="15">
      <c r="A71" t="s">
        <v>142</v>
      </c>
      <c r="B71">
        <v>40</v>
      </c>
      <c r="C71" t="s">
        <v>131</v>
      </c>
      <c r="D71" t="s">
        <v>60</v>
      </c>
      <c r="E71">
        <v>38900</v>
      </c>
      <c r="F71">
        <v>8</v>
      </c>
      <c r="G71">
        <v>3</v>
      </c>
    </row>
    <row r="72" spans="1:7" ht="15">
      <c r="A72" t="s">
        <v>143</v>
      </c>
      <c r="B72">
        <v>55</v>
      </c>
      <c r="C72" t="s">
        <v>131</v>
      </c>
      <c r="D72" t="s">
        <v>80</v>
      </c>
      <c r="E72">
        <v>50100</v>
      </c>
      <c r="F72">
        <v>2</v>
      </c>
      <c r="G72">
        <v>5</v>
      </c>
    </row>
    <row r="73" spans="1:7" ht="15">
      <c r="A73" t="s">
        <v>144</v>
      </c>
      <c r="B73">
        <v>52</v>
      </c>
      <c r="C73" t="s">
        <v>131</v>
      </c>
      <c r="D73" t="s">
        <v>77</v>
      </c>
      <c r="E73">
        <v>60000</v>
      </c>
      <c r="F73">
        <v>6</v>
      </c>
      <c r="G73">
        <v>1</v>
      </c>
    </row>
    <row r="74" spans="1:7" ht="15">
      <c r="A74" t="s">
        <v>145</v>
      </c>
      <c r="B74">
        <v>32</v>
      </c>
      <c r="C74" t="s">
        <v>131</v>
      </c>
      <c r="D74" t="s">
        <v>60</v>
      </c>
      <c r="E74">
        <v>49600</v>
      </c>
      <c r="F74">
        <v>5</v>
      </c>
      <c r="G74">
        <v>3</v>
      </c>
    </row>
    <row r="75" spans="1:7" ht="15">
      <c r="A75" t="s">
        <v>146</v>
      </c>
      <c r="B75">
        <v>32</v>
      </c>
      <c r="C75" t="s">
        <v>135</v>
      </c>
      <c r="D75" t="s">
        <v>60</v>
      </c>
      <c r="E75">
        <v>44100</v>
      </c>
      <c r="F75">
        <v>4</v>
      </c>
      <c r="G75">
        <v>4</v>
      </c>
    </row>
    <row r="76" spans="1:7" ht="15">
      <c r="A76" t="s">
        <v>147</v>
      </c>
      <c r="B76">
        <v>30</v>
      </c>
      <c r="C76" t="s">
        <v>131</v>
      </c>
      <c r="D76" t="s">
        <v>80</v>
      </c>
      <c r="E76">
        <v>42600</v>
      </c>
      <c r="F76">
        <v>15</v>
      </c>
      <c r="G76">
        <v>10</v>
      </c>
    </row>
    <row r="77" spans="1:7" ht="15">
      <c r="A77" t="s">
        <v>148</v>
      </c>
      <c r="B77">
        <v>28</v>
      </c>
      <c r="C77" t="s">
        <v>131</v>
      </c>
      <c r="D77" t="s">
        <v>77</v>
      </c>
      <c r="E77">
        <v>30700</v>
      </c>
      <c r="F77">
        <v>3</v>
      </c>
      <c r="G77">
        <v>2</v>
      </c>
    </row>
    <row r="78" spans="1:7" ht="15">
      <c r="A78" t="s">
        <v>149</v>
      </c>
      <c r="B78">
        <v>42</v>
      </c>
      <c r="C78" t="s">
        <v>131</v>
      </c>
      <c r="D78" t="s">
        <v>64</v>
      </c>
      <c r="E78">
        <v>44800</v>
      </c>
      <c r="F78">
        <v>3</v>
      </c>
      <c r="G78">
        <v>10</v>
      </c>
    </row>
    <row r="79" spans="1:7" ht="15">
      <c r="A79" t="s">
        <v>150</v>
      </c>
      <c r="B79">
        <v>15</v>
      </c>
      <c r="C79" t="s">
        <v>131</v>
      </c>
      <c r="D79" t="s">
        <v>77</v>
      </c>
      <c r="E79">
        <v>31600</v>
      </c>
      <c r="F79">
        <v>2</v>
      </c>
      <c r="G79">
        <v>6</v>
      </c>
    </row>
    <row r="80" spans="1:7" ht="15">
      <c r="A80" t="s">
        <v>151</v>
      </c>
      <c r="B80" t="s">
        <v>152</v>
      </c>
      <c r="C80" t="s">
        <v>131</v>
      </c>
      <c r="D80" t="s">
        <v>64</v>
      </c>
      <c r="E80">
        <v>28500</v>
      </c>
      <c r="F80">
        <v>16</v>
      </c>
      <c r="G80">
        <v>6</v>
      </c>
    </row>
    <row r="81" spans="1:7" ht="15">
      <c r="A81" t="s">
        <v>153</v>
      </c>
      <c r="B81">
        <v>29</v>
      </c>
      <c r="C81" t="s">
        <v>131</v>
      </c>
      <c r="D81" t="s">
        <v>64</v>
      </c>
      <c r="E81">
        <v>39500</v>
      </c>
      <c r="F81">
        <v>19</v>
      </c>
      <c r="G81">
        <v>9</v>
      </c>
    </row>
    <row r="82" spans="1:7" ht="15">
      <c r="A82" t="s">
        <v>154</v>
      </c>
      <c r="B82">
        <v>42</v>
      </c>
      <c r="C82" t="s">
        <v>131</v>
      </c>
      <c r="D82" t="s">
        <v>108</v>
      </c>
      <c r="E82">
        <v>63300</v>
      </c>
      <c r="F82">
        <v>5</v>
      </c>
      <c r="G82">
        <v>10</v>
      </c>
    </row>
    <row r="83" spans="1:7" ht="15">
      <c r="A83" t="s">
        <v>155</v>
      </c>
      <c r="B83">
        <v>54</v>
      </c>
      <c r="C83" t="s">
        <v>131</v>
      </c>
      <c r="D83" t="s">
        <v>80</v>
      </c>
      <c r="E83">
        <v>47900</v>
      </c>
      <c r="F83">
        <v>8</v>
      </c>
      <c r="G83">
        <v>1</v>
      </c>
    </row>
    <row r="84" spans="1:7" ht="15">
      <c r="A84" t="s">
        <v>137</v>
      </c>
      <c r="B84">
        <v>52</v>
      </c>
      <c r="C84" t="s">
        <v>131</v>
      </c>
      <c r="D84" t="s">
        <v>64</v>
      </c>
      <c r="E84">
        <v>34900</v>
      </c>
      <c r="F84">
        <v>9</v>
      </c>
      <c r="G84">
        <v>5</v>
      </c>
    </row>
    <row r="85" spans="1:7" ht="15">
      <c r="A85" t="s">
        <v>156</v>
      </c>
      <c r="B85">
        <v>48</v>
      </c>
      <c r="C85" t="s">
        <v>131</v>
      </c>
      <c r="D85" t="s">
        <v>60</v>
      </c>
      <c r="E85">
        <v>57400</v>
      </c>
      <c r="F85">
        <v>1</v>
      </c>
      <c r="G85">
        <v>4</v>
      </c>
    </row>
    <row r="86" spans="1:7" ht="15">
      <c r="A86" t="s">
        <v>157</v>
      </c>
      <c r="B86">
        <v>61</v>
      </c>
      <c r="C86" t="s">
        <v>131</v>
      </c>
      <c r="D86" t="s">
        <v>64</v>
      </c>
      <c r="E86">
        <v>19200</v>
      </c>
      <c r="F86">
        <v>6</v>
      </c>
      <c r="G86">
        <v>3</v>
      </c>
    </row>
    <row r="87" spans="1:7" ht="15">
      <c r="A87" t="s">
        <v>158</v>
      </c>
      <c r="B87">
        <v>32</v>
      </c>
      <c r="C87" t="s">
        <v>131</v>
      </c>
      <c r="D87" t="s">
        <v>60</v>
      </c>
      <c r="E87">
        <v>49200</v>
      </c>
      <c r="F87">
        <v>6</v>
      </c>
      <c r="G87">
        <v>4</v>
      </c>
    </row>
    <row r="88" spans="1:7" ht="15">
      <c r="A88" t="s">
        <v>159</v>
      </c>
      <c r="B88">
        <v>45</v>
      </c>
      <c r="C88" t="s">
        <v>131</v>
      </c>
      <c r="D88" t="s">
        <v>67</v>
      </c>
      <c r="E88">
        <v>27400</v>
      </c>
      <c r="F88">
        <v>11</v>
      </c>
      <c r="G88">
        <v>9</v>
      </c>
    </row>
    <row r="89" spans="1:7" ht="15">
      <c r="A89" t="s">
        <v>160</v>
      </c>
      <c r="B89">
        <v>51</v>
      </c>
      <c r="C89" t="s">
        <v>131</v>
      </c>
      <c r="D89" t="s">
        <v>67</v>
      </c>
      <c r="E89">
        <v>33400</v>
      </c>
      <c r="F89">
        <v>6</v>
      </c>
      <c r="G89">
        <v>10</v>
      </c>
    </row>
    <row r="90" spans="1:7" ht="15">
      <c r="A90" t="s">
        <v>161</v>
      </c>
      <c r="B90">
        <v>54</v>
      </c>
      <c r="C90" t="s">
        <v>135</v>
      </c>
      <c r="D90" t="s">
        <v>60</v>
      </c>
      <c r="E90">
        <v>40700</v>
      </c>
      <c r="F90">
        <v>10</v>
      </c>
      <c r="G90">
        <v>1</v>
      </c>
    </row>
    <row r="91" spans="1:7" ht="15">
      <c r="A91" t="s">
        <v>162</v>
      </c>
      <c r="B91">
        <v>32</v>
      </c>
      <c r="C91" t="s">
        <v>131</v>
      </c>
      <c r="D91" t="s">
        <v>60</v>
      </c>
      <c r="E91">
        <v>42100</v>
      </c>
      <c r="F91">
        <v>2</v>
      </c>
      <c r="G91">
        <v>7</v>
      </c>
    </row>
    <row r="92" spans="1:7" ht="15">
      <c r="A92" t="s">
        <v>163</v>
      </c>
      <c r="B92">
        <v>27</v>
      </c>
      <c r="C92" t="s">
        <v>131</v>
      </c>
      <c r="D92" t="s">
        <v>64</v>
      </c>
      <c r="E92">
        <v>40500</v>
      </c>
      <c r="F92">
        <v>3</v>
      </c>
      <c r="G92">
        <v>10</v>
      </c>
    </row>
    <row r="93" spans="1:7" ht="15">
      <c r="A93" t="s">
        <v>164</v>
      </c>
      <c r="B93">
        <v>34</v>
      </c>
      <c r="C93" t="s">
        <v>131</v>
      </c>
      <c r="D93" t="s">
        <v>64</v>
      </c>
      <c r="E93">
        <v>35100</v>
      </c>
      <c r="F93">
        <v>6</v>
      </c>
      <c r="G93">
        <v>4</v>
      </c>
    </row>
    <row r="94" spans="1:7" ht="15">
      <c r="A94" t="s">
        <v>165</v>
      </c>
      <c r="B94">
        <v>46</v>
      </c>
      <c r="C94" t="s">
        <v>131</v>
      </c>
      <c r="D94" t="s">
        <v>92</v>
      </c>
      <c r="E94">
        <v>22100</v>
      </c>
      <c r="F94">
        <v>2</v>
      </c>
      <c r="G94">
        <v>5</v>
      </c>
    </row>
    <row r="95" spans="1:7" ht="15">
      <c r="A95" t="s">
        <v>166</v>
      </c>
      <c r="B95">
        <v>40</v>
      </c>
      <c r="C95" t="s">
        <v>131</v>
      </c>
      <c r="D95" t="s">
        <v>67</v>
      </c>
      <c r="E95">
        <v>23000</v>
      </c>
      <c r="F95">
        <v>4</v>
      </c>
      <c r="G95">
        <v>5</v>
      </c>
    </row>
    <row r="96" spans="1:7" ht="15">
      <c r="A96" t="s">
        <v>167</v>
      </c>
      <c r="B96">
        <v>43</v>
      </c>
      <c r="C96" t="s">
        <v>131</v>
      </c>
      <c r="D96" t="s">
        <v>60</v>
      </c>
      <c r="E96">
        <v>54000</v>
      </c>
      <c r="F96">
        <v>3</v>
      </c>
      <c r="G96">
        <v>7</v>
      </c>
    </row>
    <row r="97" spans="1:7" ht="15">
      <c r="A97" t="s">
        <v>168</v>
      </c>
      <c r="B97">
        <v>46</v>
      </c>
      <c r="C97" t="s">
        <v>131</v>
      </c>
      <c r="D97" t="s">
        <v>60</v>
      </c>
      <c r="E97">
        <v>48500</v>
      </c>
      <c r="F97">
        <v>1</v>
      </c>
      <c r="G97">
        <v>4</v>
      </c>
    </row>
    <row r="98" spans="1:7" ht="15">
      <c r="A98" t="s">
        <v>169</v>
      </c>
      <c r="B98">
        <v>38</v>
      </c>
      <c r="C98" t="s">
        <v>170</v>
      </c>
      <c r="D98" t="s">
        <v>80</v>
      </c>
      <c r="E98">
        <v>55100</v>
      </c>
      <c r="F98">
        <v>3</v>
      </c>
      <c r="G98">
        <v>9</v>
      </c>
    </row>
    <row r="99" spans="1:7" ht="15">
      <c r="A99" t="s">
        <v>171</v>
      </c>
      <c r="B99">
        <v>92</v>
      </c>
      <c r="C99" t="s">
        <v>170</v>
      </c>
      <c r="D99" t="s">
        <v>92</v>
      </c>
      <c r="E99">
        <v>23700</v>
      </c>
      <c r="F99">
        <v>8</v>
      </c>
      <c r="G99">
        <v>9</v>
      </c>
    </row>
    <row r="100" spans="1:7" ht="15">
      <c r="A100" t="s">
        <v>172</v>
      </c>
      <c r="B100">
        <v>51</v>
      </c>
      <c r="C100" t="s">
        <v>170</v>
      </c>
      <c r="D100" t="s">
        <v>60</v>
      </c>
      <c r="E100">
        <v>85340</v>
      </c>
      <c r="F100">
        <v>11</v>
      </c>
      <c r="G100">
        <v>4</v>
      </c>
    </row>
    <row r="101" spans="1:7" ht="15">
      <c r="A101" t="s">
        <v>173</v>
      </c>
      <c r="B101">
        <v>42</v>
      </c>
      <c r="C101" t="s">
        <v>170</v>
      </c>
      <c r="D101" t="s">
        <v>60</v>
      </c>
      <c r="E101">
        <v>34600</v>
      </c>
      <c r="F101">
        <v>3</v>
      </c>
      <c r="G101">
        <v>5</v>
      </c>
    </row>
    <row r="102" spans="1:7" ht="15">
      <c r="A102" t="s">
        <v>174</v>
      </c>
      <c r="B102">
        <v>35</v>
      </c>
      <c r="C102" t="s">
        <v>170</v>
      </c>
      <c r="D102" t="s">
        <v>77</v>
      </c>
      <c r="E102">
        <v>51300</v>
      </c>
      <c r="F102">
        <v>1</v>
      </c>
      <c r="G102">
        <v>7</v>
      </c>
    </row>
  </sheetData>
  <mergeCells count="2">
    <mergeCell ref="J1:K1"/>
    <mergeCell ref="J2:M7"/>
  </mergeCells>
  <dataValidations count="2">
    <dataValidation type="whole" allowBlank="1" showInputMessage="1" showErrorMessage="1" sqref="B2:B102" xr:uid="{71B964C5-30BD-4670-A94F-C34376B1D9BE}">
      <formula1>18</formula1>
      <formula2>75</formula2>
    </dataValidation>
    <dataValidation type="textLength" operator="equal" allowBlank="1" showInputMessage="1" showErrorMessage="1" sqref="C2:C102" xr:uid="{7BDBD1E7-B7DE-4B9C-B862-A9C7BA80FED5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1CC1-45E5-B64D-9315-B702B72F4B21}">
  <dimension ref="A1:M102"/>
  <sheetViews>
    <sheetView workbookViewId="0">
      <selection activeCell="J2" sqref="J2:M7"/>
    </sheetView>
  </sheetViews>
  <sheetFormatPr defaultColWidth="11.42578125" defaultRowHeight="15" customHeight="1"/>
  <cols>
    <col min="1" max="1" width="18.28515625" bestFit="1" customWidth="1"/>
    <col min="2" max="2" width="6.7109375" bestFit="1" customWidth="1"/>
    <col min="3" max="3" width="10" bestFit="1" customWidth="1"/>
    <col min="4" max="4" width="32.42578125" bestFit="1" customWidth="1"/>
    <col min="5" max="5" width="11.85546875" bestFit="1" customWidth="1"/>
    <col min="6" max="6" width="19.42578125" bestFit="1" customWidth="1"/>
    <col min="7" max="7" width="20.7109375" bestFit="1" customWidth="1"/>
    <col min="9" max="9" width="23" bestFit="1" customWidth="1"/>
  </cols>
  <sheetData>
    <row r="1" spans="1:13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  <c r="J1" s="44" t="s">
        <v>57</v>
      </c>
      <c r="K1" s="45"/>
    </row>
    <row r="2" spans="1:13">
      <c r="A2" t="s">
        <v>58</v>
      </c>
      <c r="B2">
        <v>38</v>
      </c>
      <c r="C2" t="s">
        <v>59</v>
      </c>
      <c r="D2" t="s">
        <v>60</v>
      </c>
      <c r="E2">
        <v>32600</v>
      </c>
      <c r="F2">
        <v>9</v>
      </c>
      <c r="G2">
        <v>4</v>
      </c>
      <c r="J2" s="31" t="s">
        <v>61</v>
      </c>
      <c r="K2" s="32"/>
      <c r="L2" s="32"/>
      <c r="M2" s="33"/>
    </row>
    <row r="3" spans="1:13">
      <c r="A3" t="s">
        <v>62</v>
      </c>
      <c r="B3">
        <v>35</v>
      </c>
      <c r="C3" t="s">
        <v>59</v>
      </c>
      <c r="D3" t="s">
        <v>60</v>
      </c>
      <c r="E3">
        <v>51000</v>
      </c>
      <c r="F3">
        <v>10</v>
      </c>
      <c r="G3">
        <v>8</v>
      </c>
      <c r="J3" s="34"/>
      <c r="K3" s="35"/>
      <c r="L3" s="35"/>
      <c r="M3" s="36"/>
    </row>
    <row r="4" spans="1:13">
      <c r="A4" t="s">
        <v>63</v>
      </c>
      <c r="B4">
        <v>40</v>
      </c>
      <c r="C4" t="s">
        <v>59</v>
      </c>
      <c r="D4" t="s">
        <v>64</v>
      </c>
      <c r="E4">
        <v>27800</v>
      </c>
      <c r="F4">
        <v>0</v>
      </c>
      <c r="G4">
        <v>4</v>
      </c>
      <c r="J4" s="34"/>
      <c r="K4" s="35"/>
      <c r="L4" s="35"/>
      <c r="M4" s="36"/>
    </row>
    <row r="5" spans="1:13">
      <c r="A5" t="s">
        <v>65</v>
      </c>
      <c r="B5">
        <v>43</v>
      </c>
      <c r="C5" t="s">
        <v>59</v>
      </c>
      <c r="D5" t="s">
        <v>64</v>
      </c>
      <c r="E5">
        <v>28700</v>
      </c>
      <c r="F5">
        <v>14</v>
      </c>
      <c r="G5">
        <v>9</v>
      </c>
      <c r="J5" s="34"/>
      <c r="K5" s="35"/>
      <c r="L5" s="35"/>
      <c r="M5" s="36"/>
    </row>
    <row r="6" spans="1:13">
      <c r="A6" t="s">
        <v>66</v>
      </c>
      <c r="B6">
        <v>62</v>
      </c>
      <c r="C6" t="s">
        <v>59</v>
      </c>
      <c r="D6" t="s">
        <v>67</v>
      </c>
      <c r="E6">
        <v>15500</v>
      </c>
      <c r="F6">
        <v>17</v>
      </c>
      <c r="G6">
        <v>3</v>
      </c>
      <c r="J6" s="34"/>
      <c r="K6" s="35"/>
      <c r="L6" s="35"/>
      <c r="M6" s="36"/>
    </row>
    <row r="7" spans="1:13">
      <c r="A7" t="s">
        <v>68</v>
      </c>
      <c r="B7">
        <v>49</v>
      </c>
      <c r="C7" t="s">
        <v>59</v>
      </c>
      <c r="D7" t="s">
        <v>60</v>
      </c>
      <c r="E7">
        <v>25200</v>
      </c>
      <c r="F7">
        <v>3</v>
      </c>
      <c r="G7">
        <v>8</v>
      </c>
      <c r="J7" s="37"/>
      <c r="K7" s="38"/>
      <c r="L7" s="38"/>
      <c r="M7" s="39"/>
    </row>
    <row r="8" spans="1:13">
      <c r="A8" t="s">
        <v>70</v>
      </c>
      <c r="B8">
        <v>52</v>
      </c>
      <c r="C8" t="s">
        <v>59</v>
      </c>
      <c r="D8" t="s">
        <v>64</v>
      </c>
      <c r="E8">
        <v>39100</v>
      </c>
      <c r="F8">
        <v>2</v>
      </c>
      <c r="G8">
        <v>7</v>
      </c>
    </row>
    <row r="9" spans="1:13">
      <c r="A9" t="s">
        <v>71</v>
      </c>
      <c r="B9">
        <v>56</v>
      </c>
      <c r="C9" t="s">
        <v>59</v>
      </c>
      <c r="D9" t="s">
        <v>64</v>
      </c>
      <c r="E9">
        <v>35600</v>
      </c>
      <c r="F9">
        <v>4</v>
      </c>
      <c r="G9">
        <v>4</v>
      </c>
    </row>
    <row r="10" spans="1:13">
      <c r="A10" t="s">
        <v>73</v>
      </c>
      <c r="B10">
        <v>35</v>
      </c>
      <c r="C10" t="s">
        <v>59</v>
      </c>
      <c r="D10" t="s">
        <v>60</v>
      </c>
      <c r="E10">
        <v>51400</v>
      </c>
      <c r="F10">
        <v>3</v>
      </c>
      <c r="G10">
        <v>5</v>
      </c>
      <c r="I10" t="s">
        <v>175</v>
      </c>
      <c r="J10" s="23">
        <v>45</v>
      </c>
    </row>
    <row r="11" spans="1:13">
      <c r="A11" t="s">
        <v>74</v>
      </c>
      <c r="B11">
        <v>33</v>
      </c>
      <c r="C11" t="s">
        <v>59</v>
      </c>
      <c r="D11" t="s">
        <v>60</v>
      </c>
      <c r="E11">
        <v>43300</v>
      </c>
      <c r="F11">
        <v>6</v>
      </c>
      <c r="G11">
        <v>2</v>
      </c>
    </row>
    <row r="12" spans="1:13">
      <c r="A12" t="s">
        <v>75</v>
      </c>
      <c r="B12">
        <v>55</v>
      </c>
      <c r="C12" t="s">
        <v>59</v>
      </c>
      <c r="D12" t="s">
        <v>60</v>
      </c>
      <c r="E12">
        <v>46100</v>
      </c>
      <c r="F12">
        <v>3</v>
      </c>
      <c r="G12">
        <v>10</v>
      </c>
    </row>
    <row r="13" spans="1:13">
      <c r="A13" t="s">
        <v>76</v>
      </c>
      <c r="B13">
        <v>34</v>
      </c>
      <c r="C13" t="s">
        <v>59</v>
      </c>
      <c r="D13" t="s">
        <v>77</v>
      </c>
      <c r="E13">
        <v>41100</v>
      </c>
      <c r="F13">
        <v>4</v>
      </c>
      <c r="G13">
        <v>1</v>
      </c>
    </row>
    <row r="14" spans="1:13">
      <c r="A14" t="s">
        <v>78</v>
      </c>
      <c r="B14">
        <v>40</v>
      </c>
      <c r="C14" t="s">
        <v>59</v>
      </c>
      <c r="D14" t="s">
        <v>60</v>
      </c>
      <c r="E14">
        <v>37500</v>
      </c>
      <c r="F14">
        <v>7</v>
      </c>
      <c r="G14">
        <v>1</v>
      </c>
    </row>
    <row r="15" spans="1:13">
      <c r="A15" t="s">
        <v>79</v>
      </c>
      <c r="B15">
        <v>34</v>
      </c>
      <c r="C15" t="s">
        <v>59</v>
      </c>
      <c r="D15" t="s">
        <v>80</v>
      </c>
      <c r="E15">
        <v>41000</v>
      </c>
      <c r="F15">
        <v>3</v>
      </c>
      <c r="G15">
        <v>2</v>
      </c>
    </row>
    <row r="16" spans="1:13">
      <c r="A16" t="s">
        <v>81</v>
      </c>
      <c r="B16">
        <v>56</v>
      </c>
      <c r="C16" t="s">
        <v>59</v>
      </c>
      <c r="D16" t="s">
        <v>60</v>
      </c>
      <c r="E16">
        <v>48000</v>
      </c>
      <c r="F16">
        <v>6</v>
      </c>
      <c r="G16">
        <v>8</v>
      </c>
    </row>
    <row r="17" spans="1:7">
      <c r="A17" t="s">
        <v>82</v>
      </c>
      <c r="B17">
        <v>35</v>
      </c>
      <c r="C17" t="s">
        <v>59</v>
      </c>
      <c r="D17" t="s">
        <v>60</v>
      </c>
      <c r="E17">
        <v>64100</v>
      </c>
      <c r="F17">
        <v>1</v>
      </c>
      <c r="G17">
        <v>8</v>
      </c>
    </row>
    <row r="18" spans="1:7">
      <c r="A18" t="s">
        <v>83</v>
      </c>
      <c r="B18">
        <v>43</v>
      </c>
      <c r="C18" t="s">
        <v>59</v>
      </c>
      <c r="D18" t="s">
        <v>80</v>
      </c>
      <c r="E18">
        <v>56400</v>
      </c>
      <c r="F18">
        <v>11</v>
      </c>
      <c r="G18">
        <v>1</v>
      </c>
    </row>
    <row r="19" spans="1:7">
      <c r="A19" t="s">
        <v>84</v>
      </c>
      <c r="B19">
        <v>31</v>
      </c>
      <c r="C19" t="s">
        <v>59</v>
      </c>
      <c r="D19" t="s">
        <v>60</v>
      </c>
      <c r="E19">
        <v>37000</v>
      </c>
      <c r="F19">
        <v>31</v>
      </c>
      <c r="G19">
        <v>8</v>
      </c>
    </row>
    <row r="20" spans="1:7">
      <c r="A20" t="s">
        <v>85</v>
      </c>
      <c r="B20">
        <v>37</v>
      </c>
      <c r="C20" t="s">
        <v>59</v>
      </c>
      <c r="D20" t="s">
        <v>60</v>
      </c>
      <c r="E20">
        <v>44300</v>
      </c>
      <c r="F20">
        <v>10</v>
      </c>
      <c r="G20">
        <v>3</v>
      </c>
    </row>
    <row r="21" spans="1:7">
      <c r="A21" t="s">
        <v>86</v>
      </c>
      <c r="B21">
        <v>29</v>
      </c>
      <c r="C21" t="s">
        <v>59</v>
      </c>
      <c r="D21" t="s">
        <v>60</v>
      </c>
      <c r="E21">
        <v>28000</v>
      </c>
      <c r="F21">
        <v>5</v>
      </c>
      <c r="G21">
        <v>8</v>
      </c>
    </row>
    <row r="22" spans="1:7">
      <c r="A22" t="s">
        <v>87</v>
      </c>
      <c r="B22">
        <v>60</v>
      </c>
      <c r="C22" t="s">
        <v>59</v>
      </c>
      <c r="D22" t="s">
        <v>60</v>
      </c>
      <c r="E22">
        <v>38200</v>
      </c>
      <c r="F22">
        <v>6</v>
      </c>
      <c r="G22">
        <v>3</v>
      </c>
    </row>
    <row r="23" spans="1:7">
      <c r="A23" t="s">
        <v>88</v>
      </c>
      <c r="B23">
        <v>51</v>
      </c>
      <c r="C23" t="s">
        <v>59</v>
      </c>
      <c r="D23" t="s">
        <v>60</v>
      </c>
      <c r="E23">
        <v>47200</v>
      </c>
      <c r="F23">
        <v>5</v>
      </c>
      <c r="G23">
        <v>8</v>
      </c>
    </row>
    <row r="24" spans="1:7">
      <c r="A24" t="s">
        <v>90</v>
      </c>
      <c r="B24">
        <v>46</v>
      </c>
      <c r="C24" t="s">
        <v>59</v>
      </c>
      <c r="D24" t="s">
        <v>64</v>
      </c>
      <c r="E24">
        <v>31500</v>
      </c>
      <c r="F24">
        <v>2</v>
      </c>
      <c r="G24">
        <v>1</v>
      </c>
    </row>
    <row r="25" spans="1:7">
      <c r="A25" t="s">
        <v>91</v>
      </c>
      <c r="B25">
        <v>42</v>
      </c>
      <c r="C25" t="s">
        <v>59</v>
      </c>
      <c r="D25" t="s">
        <v>92</v>
      </c>
      <c r="E25">
        <v>24200</v>
      </c>
      <c r="F25">
        <v>4</v>
      </c>
      <c r="G25">
        <v>8</v>
      </c>
    </row>
    <row r="26" spans="1:7">
      <c r="A26" t="s">
        <v>93</v>
      </c>
      <c r="B26">
        <v>43</v>
      </c>
      <c r="C26" t="s">
        <v>59</v>
      </c>
      <c r="D26" t="s">
        <v>60</v>
      </c>
      <c r="E26">
        <v>55100</v>
      </c>
      <c r="F26">
        <v>10</v>
      </c>
      <c r="G26">
        <v>1</v>
      </c>
    </row>
    <row r="27" spans="1:7">
      <c r="A27" t="s">
        <v>94</v>
      </c>
      <c r="B27">
        <v>54</v>
      </c>
      <c r="C27" t="s">
        <v>59</v>
      </c>
      <c r="D27" t="s">
        <v>77</v>
      </c>
      <c r="E27">
        <v>37600</v>
      </c>
      <c r="F27">
        <v>15</v>
      </c>
      <c r="G27">
        <v>6</v>
      </c>
    </row>
    <row r="28" spans="1:7">
      <c r="A28" t="s">
        <v>95</v>
      </c>
      <c r="B28">
        <v>48</v>
      </c>
      <c r="C28" t="s">
        <v>59</v>
      </c>
      <c r="D28" t="s">
        <v>92</v>
      </c>
      <c r="E28">
        <v>27100</v>
      </c>
      <c r="F28">
        <v>2</v>
      </c>
      <c r="G28">
        <v>3</v>
      </c>
    </row>
    <row r="29" spans="1:7">
      <c r="A29" t="s">
        <v>96</v>
      </c>
      <c r="B29">
        <v>52</v>
      </c>
      <c r="C29" t="s">
        <v>59</v>
      </c>
      <c r="D29" t="s">
        <v>64</v>
      </c>
      <c r="E29">
        <v>45400</v>
      </c>
      <c r="F29">
        <v>2</v>
      </c>
      <c r="G29">
        <v>2</v>
      </c>
    </row>
    <row r="30" spans="1:7">
      <c r="A30" t="s">
        <v>97</v>
      </c>
      <c r="B30">
        <v>42</v>
      </c>
      <c r="C30" t="s">
        <v>59</v>
      </c>
      <c r="D30" t="s">
        <v>60</v>
      </c>
      <c r="E30">
        <v>50800</v>
      </c>
      <c r="F30">
        <v>6</v>
      </c>
      <c r="G30">
        <v>8</v>
      </c>
    </row>
    <row r="31" spans="1:7">
      <c r="A31" t="s">
        <v>98</v>
      </c>
      <c r="B31">
        <v>39</v>
      </c>
      <c r="C31" t="s">
        <v>59</v>
      </c>
      <c r="D31" t="s">
        <v>64</v>
      </c>
      <c r="E31">
        <v>31000</v>
      </c>
      <c r="F31">
        <v>44</v>
      </c>
      <c r="G31">
        <v>6</v>
      </c>
    </row>
    <row r="32" spans="1:7">
      <c r="A32" t="s">
        <v>99</v>
      </c>
      <c r="B32">
        <v>42</v>
      </c>
      <c r="C32" t="s">
        <v>59</v>
      </c>
      <c r="D32" t="s">
        <v>92</v>
      </c>
      <c r="E32">
        <v>23000</v>
      </c>
      <c r="F32">
        <v>3</v>
      </c>
      <c r="G32">
        <v>10</v>
      </c>
    </row>
    <row r="33" spans="1:7">
      <c r="A33" t="s">
        <v>100</v>
      </c>
      <c r="B33">
        <v>46</v>
      </c>
      <c r="C33" t="s">
        <v>59</v>
      </c>
      <c r="D33" t="s">
        <v>60</v>
      </c>
      <c r="E33">
        <v>53200</v>
      </c>
      <c r="F33">
        <v>11</v>
      </c>
      <c r="G33">
        <v>11</v>
      </c>
    </row>
    <row r="34" spans="1:7">
      <c r="A34" t="s">
        <v>101</v>
      </c>
      <c r="B34">
        <v>53</v>
      </c>
      <c r="C34" t="s">
        <v>59</v>
      </c>
      <c r="D34" t="s">
        <v>64</v>
      </c>
      <c r="E34">
        <v>39100</v>
      </c>
      <c r="F34">
        <v>7</v>
      </c>
      <c r="G34">
        <v>1</v>
      </c>
    </row>
    <row r="35" spans="1:7">
      <c r="A35" t="s">
        <v>102</v>
      </c>
      <c r="B35">
        <v>40</v>
      </c>
      <c r="C35" t="s">
        <v>59</v>
      </c>
      <c r="D35" t="s">
        <v>60</v>
      </c>
      <c r="E35">
        <v>41500</v>
      </c>
      <c r="F35">
        <v>9</v>
      </c>
      <c r="G35">
        <v>9</v>
      </c>
    </row>
    <row r="36" spans="1:7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</row>
    <row r="37" spans="1:7">
      <c r="A37" t="s">
        <v>104</v>
      </c>
      <c r="B37">
        <v>61</v>
      </c>
      <c r="C37" t="s">
        <v>59</v>
      </c>
      <c r="D37" t="s">
        <v>64</v>
      </c>
      <c r="E37">
        <v>35500</v>
      </c>
      <c r="F37">
        <v>0</v>
      </c>
      <c r="G37">
        <v>10</v>
      </c>
    </row>
    <row r="38" spans="1:7">
      <c r="A38" t="s">
        <v>105</v>
      </c>
      <c r="B38">
        <v>44</v>
      </c>
      <c r="C38" t="s">
        <v>59</v>
      </c>
      <c r="D38" t="s">
        <v>64</v>
      </c>
      <c r="E38">
        <v>46100</v>
      </c>
      <c r="F38">
        <v>0</v>
      </c>
      <c r="G38">
        <v>9</v>
      </c>
    </row>
    <row r="39" spans="1:7">
      <c r="A39" t="s">
        <v>106</v>
      </c>
      <c r="B39">
        <v>48</v>
      </c>
      <c r="C39" t="s">
        <v>59</v>
      </c>
      <c r="D39" t="s">
        <v>60</v>
      </c>
      <c r="E39">
        <v>37300</v>
      </c>
      <c r="F39">
        <v>4</v>
      </c>
      <c r="G39">
        <v>7</v>
      </c>
    </row>
    <row r="40" spans="1:7">
      <c r="A40" t="s">
        <v>107</v>
      </c>
      <c r="B40">
        <v>38</v>
      </c>
      <c r="C40" t="s">
        <v>59</v>
      </c>
      <c r="D40" t="s">
        <v>108</v>
      </c>
      <c r="E40">
        <v>62600</v>
      </c>
      <c r="F40">
        <v>0</v>
      </c>
      <c r="G40">
        <v>4</v>
      </c>
    </row>
    <row r="41" spans="1:7">
      <c r="A41" t="s">
        <v>109</v>
      </c>
      <c r="B41">
        <v>31</v>
      </c>
      <c r="C41" t="s">
        <v>59</v>
      </c>
      <c r="D41" t="s">
        <v>64</v>
      </c>
      <c r="E41">
        <v>29400</v>
      </c>
      <c r="F41">
        <v>12</v>
      </c>
      <c r="G41">
        <v>4</v>
      </c>
    </row>
    <row r="42" spans="1:7">
      <c r="A42" t="s">
        <v>110</v>
      </c>
      <c r="B42">
        <v>54</v>
      </c>
      <c r="C42" t="s">
        <v>59</v>
      </c>
      <c r="D42" t="s">
        <v>60</v>
      </c>
      <c r="E42">
        <v>53200</v>
      </c>
      <c r="F42">
        <v>2</v>
      </c>
      <c r="G42">
        <v>3</v>
      </c>
    </row>
    <row r="43" spans="1:7">
      <c r="A43" t="s">
        <v>111</v>
      </c>
      <c r="B43">
        <v>52</v>
      </c>
      <c r="C43" t="s">
        <v>59</v>
      </c>
      <c r="D43" t="s">
        <v>80</v>
      </c>
      <c r="E43">
        <v>45600</v>
      </c>
      <c r="F43">
        <v>4</v>
      </c>
      <c r="G43">
        <v>9</v>
      </c>
    </row>
    <row r="44" spans="1:7">
      <c r="A44" t="s">
        <v>112</v>
      </c>
      <c r="B44">
        <v>51</v>
      </c>
      <c r="C44" t="s">
        <v>59</v>
      </c>
      <c r="D44" t="s">
        <v>77</v>
      </c>
      <c r="E44">
        <v>45400</v>
      </c>
      <c r="F44">
        <v>5</v>
      </c>
      <c r="G44">
        <v>1</v>
      </c>
    </row>
    <row r="45" spans="1:7">
      <c r="A45" t="s">
        <v>113</v>
      </c>
      <c r="B45">
        <v>54</v>
      </c>
      <c r="C45" t="s">
        <v>59</v>
      </c>
      <c r="D45" t="s">
        <v>67</v>
      </c>
      <c r="E45">
        <v>30500</v>
      </c>
      <c r="F45">
        <v>11</v>
      </c>
      <c r="G45">
        <v>8</v>
      </c>
    </row>
    <row r="46" spans="1:7">
      <c r="A46" t="s">
        <v>114</v>
      </c>
      <c r="B46">
        <v>49</v>
      </c>
      <c r="C46" t="s">
        <v>59</v>
      </c>
      <c r="D46" t="s">
        <v>77</v>
      </c>
      <c r="E46">
        <v>51500</v>
      </c>
      <c r="F46">
        <v>0</v>
      </c>
      <c r="G46">
        <v>1</v>
      </c>
    </row>
    <row r="47" spans="1:7">
      <c r="A47" t="s">
        <v>115</v>
      </c>
      <c r="B47">
        <v>42</v>
      </c>
      <c r="C47" t="s">
        <v>59</v>
      </c>
      <c r="D47" t="s">
        <v>80</v>
      </c>
      <c r="E47">
        <v>48700</v>
      </c>
      <c r="F47">
        <v>4</v>
      </c>
      <c r="G47">
        <v>1</v>
      </c>
    </row>
    <row r="48" spans="1:7">
      <c r="A48" t="s">
        <v>116</v>
      </c>
      <c r="B48">
        <v>55</v>
      </c>
      <c r="C48" t="s">
        <v>59</v>
      </c>
      <c r="D48" t="s">
        <v>60</v>
      </c>
      <c r="E48">
        <v>34200</v>
      </c>
      <c r="F48">
        <v>4</v>
      </c>
      <c r="G48">
        <v>6</v>
      </c>
    </row>
    <row r="49" spans="1:7">
      <c r="A49" t="s">
        <v>117</v>
      </c>
      <c r="B49">
        <v>47</v>
      </c>
      <c r="C49" t="s">
        <v>59</v>
      </c>
      <c r="D49" t="s">
        <v>60</v>
      </c>
      <c r="E49">
        <v>53400</v>
      </c>
      <c r="F49">
        <v>8</v>
      </c>
      <c r="G49">
        <v>1</v>
      </c>
    </row>
    <row r="50" spans="1:7">
      <c r="A50" t="s">
        <v>118</v>
      </c>
      <c r="B50">
        <v>43</v>
      </c>
      <c r="C50" t="s">
        <v>59</v>
      </c>
      <c r="D50" t="s">
        <v>67</v>
      </c>
      <c r="E50">
        <v>33700</v>
      </c>
      <c r="F50">
        <v>3</v>
      </c>
      <c r="G50">
        <v>8</v>
      </c>
    </row>
    <row r="51" spans="1:7">
      <c r="A51" t="s">
        <v>119</v>
      </c>
      <c r="B51">
        <v>48</v>
      </c>
      <c r="C51" t="s">
        <v>59</v>
      </c>
      <c r="D51" t="s">
        <v>64</v>
      </c>
      <c r="E51">
        <v>19900</v>
      </c>
      <c r="F51">
        <v>7</v>
      </c>
      <c r="G51">
        <v>6</v>
      </c>
    </row>
    <row r="52" spans="1:7">
      <c r="A52" t="s">
        <v>120</v>
      </c>
      <c r="B52">
        <v>35</v>
      </c>
      <c r="C52" t="s">
        <v>59</v>
      </c>
      <c r="D52" t="s">
        <v>80</v>
      </c>
      <c r="E52">
        <v>32700</v>
      </c>
      <c r="F52">
        <v>0</v>
      </c>
      <c r="G52">
        <v>3</v>
      </c>
    </row>
    <row r="53" spans="1:7">
      <c r="A53" t="s">
        <v>121</v>
      </c>
      <c r="B53">
        <v>33</v>
      </c>
      <c r="C53" t="s">
        <v>59</v>
      </c>
      <c r="D53" t="s">
        <v>80</v>
      </c>
      <c r="E53">
        <v>56600</v>
      </c>
      <c r="F53">
        <v>6</v>
      </c>
      <c r="G53">
        <v>9</v>
      </c>
    </row>
    <row r="54" spans="1:7">
      <c r="A54" t="s">
        <v>122</v>
      </c>
      <c r="B54">
        <v>46</v>
      </c>
      <c r="C54" t="s">
        <v>59</v>
      </c>
      <c r="D54" t="s">
        <v>92</v>
      </c>
      <c r="E54">
        <v>23000</v>
      </c>
      <c r="F54">
        <v>2</v>
      </c>
      <c r="G54">
        <v>7</v>
      </c>
    </row>
    <row r="55" spans="1:7">
      <c r="A55" t="s">
        <v>123</v>
      </c>
      <c r="B55">
        <v>46</v>
      </c>
      <c r="C55" t="s">
        <v>59</v>
      </c>
      <c r="D55" t="s">
        <v>108</v>
      </c>
      <c r="E55">
        <v>54500</v>
      </c>
      <c r="F55">
        <v>10</v>
      </c>
      <c r="G55">
        <v>5</v>
      </c>
    </row>
    <row r="56" spans="1:7">
      <c r="A56" t="s">
        <v>124</v>
      </c>
      <c r="B56">
        <v>51</v>
      </c>
      <c r="C56" t="s">
        <v>59</v>
      </c>
      <c r="D56" t="s">
        <v>60</v>
      </c>
      <c r="E56">
        <v>46200</v>
      </c>
      <c r="F56">
        <v>8</v>
      </c>
      <c r="G56">
        <v>7</v>
      </c>
    </row>
    <row r="57" spans="1:7">
      <c r="A57" t="s">
        <v>125</v>
      </c>
      <c r="B57">
        <v>44</v>
      </c>
      <c r="C57" t="s">
        <v>59</v>
      </c>
      <c r="D57" t="s">
        <v>67</v>
      </c>
      <c r="E57">
        <v>30200</v>
      </c>
      <c r="F57">
        <v>19</v>
      </c>
      <c r="G57">
        <v>1</v>
      </c>
    </row>
    <row r="58" spans="1:7">
      <c r="A58" t="s">
        <v>126</v>
      </c>
      <c r="B58">
        <v>55</v>
      </c>
      <c r="C58" t="s">
        <v>59</v>
      </c>
      <c r="D58" t="s">
        <v>60</v>
      </c>
      <c r="E58">
        <v>59600</v>
      </c>
      <c r="F58">
        <v>13</v>
      </c>
      <c r="G58">
        <v>3</v>
      </c>
    </row>
    <row r="59" spans="1:7">
      <c r="A59" t="s">
        <v>127</v>
      </c>
      <c r="B59">
        <v>57</v>
      </c>
      <c r="C59" t="s">
        <v>59</v>
      </c>
      <c r="D59" t="s">
        <v>67</v>
      </c>
      <c r="E59">
        <v>34800</v>
      </c>
      <c r="F59">
        <v>9</v>
      </c>
      <c r="G59">
        <v>2</v>
      </c>
    </row>
    <row r="60" spans="1:7">
      <c r="A60" t="s">
        <v>128</v>
      </c>
      <c r="B60">
        <v>53</v>
      </c>
      <c r="C60" t="s">
        <v>59</v>
      </c>
      <c r="D60" t="s">
        <v>92</v>
      </c>
      <c r="E60">
        <v>28100</v>
      </c>
      <c r="F60">
        <v>5</v>
      </c>
      <c r="G60">
        <v>2</v>
      </c>
    </row>
    <row r="61" spans="1:7">
      <c r="A61" t="s">
        <v>129</v>
      </c>
      <c r="B61">
        <v>57</v>
      </c>
      <c r="C61" t="s">
        <v>59</v>
      </c>
      <c r="D61" t="s">
        <v>64</v>
      </c>
      <c r="E61">
        <v>19300</v>
      </c>
      <c r="F61">
        <v>0</v>
      </c>
      <c r="G61">
        <v>4</v>
      </c>
    </row>
    <row r="62" spans="1:7">
      <c r="A62" t="s">
        <v>130</v>
      </c>
      <c r="B62">
        <v>36</v>
      </c>
      <c r="C62" t="s">
        <v>131</v>
      </c>
      <c r="D62" t="s">
        <v>60</v>
      </c>
      <c r="E62">
        <v>45600</v>
      </c>
      <c r="F62">
        <v>17</v>
      </c>
      <c r="G62">
        <v>7</v>
      </c>
    </row>
    <row r="63" spans="1:7">
      <c r="A63" t="s">
        <v>132</v>
      </c>
      <c r="B63">
        <v>42</v>
      </c>
      <c r="C63" t="s">
        <v>131</v>
      </c>
      <c r="D63" t="s">
        <v>67</v>
      </c>
      <c r="E63">
        <v>29700</v>
      </c>
      <c r="F63">
        <v>4</v>
      </c>
      <c r="G63">
        <v>4</v>
      </c>
    </row>
    <row r="64" spans="1:7">
      <c r="A64" t="s">
        <v>133</v>
      </c>
      <c r="B64">
        <v>32</v>
      </c>
      <c r="C64" t="s">
        <v>131</v>
      </c>
      <c r="D64" t="s">
        <v>64</v>
      </c>
      <c r="E64">
        <v>41200</v>
      </c>
      <c r="F64">
        <v>0</v>
      </c>
      <c r="G64">
        <v>6</v>
      </c>
    </row>
    <row r="65" spans="1:7">
      <c r="A65" t="s">
        <v>134</v>
      </c>
      <c r="B65">
        <v>50</v>
      </c>
      <c r="C65" t="s">
        <v>131</v>
      </c>
      <c r="D65" t="s">
        <v>64</v>
      </c>
      <c r="E65">
        <v>39800</v>
      </c>
      <c r="F65">
        <v>0</v>
      </c>
      <c r="G65">
        <v>5</v>
      </c>
    </row>
    <row r="66" spans="1:7">
      <c r="A66" t="s">
        <v>136</v>
      </c>
      <c r="B66">
        <v>61</v>
      </c>
      <c r="C66" t="s">
        <v>131</v>
      </c>
      <c r="D66" t="s">
        <v>60</v>
      </c>
      <c r="E66">
        <v>59600</v>
      </c>
      <c r="F66">
        <v>8</v>
      </c>
      <c r="G66">
        <v>4</v>
      </c>
    </row>
    <row r="67" spans="1:7">
      <c r="A67" t="s">
        <v>137</v>
      </c>
      <c r="B67">
        <v>52</v>
      </c>
      <c r="C67" t="s">
        <v>131</v>
      </c>
      <c r="D67" t="s">
        <v>64</v>
      </c>
      <c r="E67">
        <v>34900</v>
      </c>
      <c r="F67">
        <v>9</v>
      </c>
      <c r="G67">
        <v>5</v>
      </c>
    </row>
    <row r="68" spans="1:7">
      <c r="A68" t="s">
        <v>138</v>
      </c>
      <c r="B68">
        <v>42</v>
      </c>
      <c r="C68" t="s">
        <v>131</v>
      </c>
      <c r="D68" t="s">
        <v>92</v>
      </c>
      <c r="E68">
        <v>18800</v>
      </c>
      <c r="F68">
        <v>3</v>
      </c>
      <c r="G68">
        <v>7</v>
      </c>
    </row>
    <row r="69" spans="1:7">
      <c r="A69" t="s">
        <v>139</v>
      </c>
      <c r="B69">
        <v>42</v>
      </c>
      <c r="C69" t="s">
        <v>131</v>
      </c>
      <c r="D69" t="s">
        <v>60</v>
      </c>
      <c r="E69">
        <v>29500</v>
      </c>
      <c r="F69">
        <v>6</v>
      </c>
      <c r="G69">
        <v>4</v>
      </c>
    </row>
    <row r="70" spans="1:7">
      <c r="A70" t="s">
        <v>141</v>
      </c>
      <c r="B70">
        <v>54</v>
      </c>
      <c r="C70" t="s">
        <v>131</v>
      </c>
      <c r="D70" t="s">
        <v>108</v>
      </c>
      <c r="E70">
        <v>64900</v>
      </c>
      <c r="F70">
        <v>0</v>
      </c>
      <c r="G70">
        <v>4</v>
      </c>
    </row>
    <row r="71" spans="1:7">
      <c r="A71" t="s">
        <v>142</v>
      </c>
      <c r="B71">
        <v>40</v>
      </c>
      <c r="C71" t="s">
        <v>131</v>
      </c>
      <c r="D71" t="s">
        <v>60</v>
      </c>
      <c r="E71">
        <v>38900</v>
      </c>
      <c r="F71">
        <v>8</v>
      </c>
      <c r="G71">
        <v>3</v>
      </c>
    </row>
    <row r="72" spans="1:7">
      <c r="A72" t="s">
        <v>143</v>
      </c>
      <c r="B72">
        <v>55</v>
      </c>
      <c r="C72" t="s">
        <v>131</v>
      </c>
      <c r="D72" t="s">
        <v>80</v>
      </c>
      <c r="E72">
        <v>50100</v>
      </c>
      <c r="F72">
        <v>2</v>
      </c>
      <c r="G72">
        <v>5</v>
      </c>
    </row>
    <row r="73" spans="1:7">
      <c r="A73" t="s">
        <v>144</v>
      </c>
      <c r="B73">
        <v>52</v>
      </c>
      <c r="C73" t="s">
        <v>131</v>
      </c>
      <c r="D73" t="s">
        <v>77</v>
      </c>
      <c r="E73">
        <v>60000</v>
      </c>
      <c r="F73">
        <v>6</v>
      </c>
      <c r="G73">
        <v>1</v>
      </c>
    </row>
    <row r="74" spans="1:7">
      <c r="A74" t="s">
        <v>145</v>
      </c>
      <c r="B74">
        <v>32</v>
      </c>
      <c r="C74" t="s">
        <v>131</v>
      </c>
      <c r="D74" t="s">
        <v>60</v>
      </c>
      <c r="E74">
        <v>49600</v>
      </c>
      <c r="F74">
        <v>5</v>
      </c>
      <c r="G74">
        <v>3</v>
      </c>
    </row>
    <row r="75" spans="1:7">
      <c r="A75" t="s">
        <v>146</v>
      </c>
      <c r="B75">
        <v>32</v>
      </c>
      <c r="C75" t="s">
        <v>131</v>
      </c>
      <c r="D75" t="s">
        <v>60</v>
      </c>
      <c r="E75">
        <v>44100</v>
      </c>
      <c r="F75">
        <v>4</v>
      </c>
      <c r="G75">
        <v>4</v>
      </c>
    </row>
    <row r="76" spans="1:7">
      <c r="A76" t="s">
        <v>147</v>
      </c>
      <c r="B76">
        <v>30</v>
      </c>
      <c r="C76" t="s">
        <v>131</v>
      </c>
      <c r="D76" t="s">
        <v>80</v>
      </c>
      <c r="E76">
        <v>42600</v>
      </c>
      <c r="F76">
        <v>15</v>
      </c>
      <c r="G76">
        <v>10</v>
      </c>
    </row>
    <row r="77" spans="1:7">
      <c r="A77" t="s">
        <v>148</v>
      </c>
      <c r="B77">
        <v>28</v>
      </c>
      <c r="C77" t="s">
        <v>131</v>
      </c>
      <c r="D77" t="s">
        <v>77</v>
      </c>
      <c r="E77">
        <v>30700</v>
      </c>
      <c r="F77">
        <v>3</v>
      </c>
      <c r="G77">
        <v>2</v>
      </c>
    </row>
    <row r="78" spans="1:7">
      <c r="A78" t="s">
        <v>149</v>
      </c>
      <c r="B78">
        <v>42</v>
      </c>
      <c r="C78" t="s">
        <v>131</v>
      </c>
      <c r="D78" t="s">
        <v>64</v>
      </c>
      <c r="E78">
        <v>44800</v>
      </c>
      <c r="F78">
        <v>3</v>
      </c>
      <c r="G78">
        <v>10</v>
      </c>
    </row>
    <row r="79" spans="1:7">
      <c r="A79" t="s">
        <v>150</v>
      </c>
      <c r="B79">
        <v>15</v>
      </c>
      <c r="C79" t="s">
        <v>131</v>
      </c>
      <c r="D79" t="s">
        <v>77</v>
      </c>
      <c r="E79">
        <v>31600</v>
      </c>
      <c r="F79">
        <v>2</v>
      </c>
      <c r="G79">
        <v>6</v>
      </c>
    </row>
    <row r="80" spans="1:7">
      <c r="A80" t="s">
        <v>151</v>
      </c>
      <c r="B80">
        <v>52</v>
      </c>
      <c r="C80" t="s">
        <v>131</v>
      </c>
      <c r="D80" t="s">
        <v>64</v>
      </c>
      <c r="E80">
        <v>28500</v>
      </c>
      <c r="F80">
        <v>16</v>
      </c>
      <c r="G80">
        <v>6</v>
      </c>
    </row>
    <row r="81" spans="1:7">
      <c r="A81" t="s">
        <v>153</v>
      </c>
      <c r="B81">
        <v>29</v>
      </c>
      <c r="C81" t="s">
        <v>131</v>
      </c>
      <c r="D81" t="s">
        <v>64</v>
      </c>
      <c r="E81">
        <v>39500</v>
      </c>
      <c r="F81">
        <v>19</v>
      </c>
      <c r="G81">
        <v>9</v>
      </c>
    </row>
    <row r="82" spans="1:7">
      <c r="A82" t="s">
        <v>154</v>
      </c>
      <c r="B82">
        <v>42</v>
      </c>
      <c r="C82" t="s">
        <v>131</v>
      </c>
      <c r="D82" t="s">
        <v>108</v>
      </c>
      <c r="E82">
        <v>63300</v>
      </c>
      <c r="F82">
        <v>5</v>
      </c>
      <c r="G82">
        <v>10</v>
      </c>
    </row>
    <row r="83" spans="1:7">
      <c r="A83" t="s">
        <v>155</v>
      </c>
      <c r="B83">
        <v>54</v>
      </c>
      <c r="C83" t="s">
        <v>131</v>
      </c>
      <c r="D83" t="s">
        <v>80</v>
      </c>
      <c r="E83">
        <v>47900</v>
      </c>
      <c r="F83">
        <v>8</v>
      </c>
      <c r="G83">
        <v>1</v>
      </c>
    </row>
    <row r="84" spans="1:7">
      <c r="A84" t="s">
        <v>137</v>
      </c>
      <c r="B84">
        <v>52</v>
      </c>
      <c r="C84" t="s">
        <v>131</v>
      </c>
      <c r="D84" t="s">
        <v>64</v>
      </c>
      <c r="E84">
        <v>34900</v>
      </c>
      <c r="F84">
        <v>9</v>
      </c>
      <c r="G84">
        <v>5</v>
      </c>
    </row>
    <row r="85" spans="1:7">
      <c r="A85" t="s">
        <v>156</v>
      </c>
      <c r="B85">
        <v>48</v>
      </c>
      <c r="C85" t="s">
        <v>131</v>
      </c>
      <c r="D85" t="s">
        <v>60</v>
      </c>
      <c r="E85">
        <v>57400</v>
      </c>
      <c r="F85">
        <v>1</v>
      </c>
      <c r="G85">
        <v>4</v>
      </c>
    </row>
    <row r="86" spans="1:7">
      <c r="A86" t="s">
        <v>157</v>
      </c>
      <c r="B86">
        <v>61</v>
      </c>
      <c r="C86" t="s">
        <v>131</v>
      </c>
      <c r="D86" t="s">
        <v>64</v>
      </c>
      <c r="E86">
        <v>19200</v>
      </c>
      <c r="F86">
        <v>6</v>
      </c>
      <c r="G86">
        <v>3</v>
      </c>
    </row>
    <row r="87" spans="1:7">
      <c r="A87" t="s">
        <v>158</v>
      </c>
      <c r="B87">
        <v>32</v>
      </c>
      <c r="C87" t="s">
        <v>131</v>
      </c>
      <c r="D87" t="s">
        <v>60</v>
      </c>
      <c r="E87">
        <v>49200</v>
      </c>
      <c r="F87">
        <v>6</v>
      </c>
      <c r="G87">
        <v>4</v>
      </c>
    </row>
    <row r="88" spans="1:7">
      <c r="A88" t="s">
        <v>159</v>
      </c>
      <c r="B88">
        <v>45</v>
      </c>
      <c r="C88" t="s">
        <v>131</v>
      </c>
      <c r="D88" t="s">
        <v>67</v>
      </c>
      <c r="E88">
        <v>27400</v>
      </c>
      <c r="F88">
        <v>11</v>
      </c>
      <c r="G88">
        <v>9</v>
      </c>
    </row>
    <row r="89" spans="1:7">
      <c r="A89" t="s">
        <v>160</v>
      </c>
      <c r="B89">
        <v>51</v>
      </c>
      <c r="C89" t="s">
        <v>131</v>
      </c>
      <c r="D89" t="s">
        <v>67</v>
      </c>
      <c r="E89">
        <v>33400</v>
      </c>
      <c r="F89">
        <v>6</v>
      </c>
      <c r="G89">
        <v>10</v>
      </c>
    </row>
    <row r="90" spans="1:7">
      <c r="A90" t="s">
        <v>161</v>
      </c>
      <c r="B90">
        <v>54</v>
      </c>
      <c r="C90" t="s">
        <v>131</v>
      </c>
      <c r="D90" t="s">
        <v>60</v>
      </c>
      <c r="E90">
        <v>40700</v>
      </c>
      <c r="F90">
        <v>10</v>
      </c>
      <c r="G90">
        <v>1</v>
      </c>
    </row>
    <row r="91" spans="1:7">
      <c r="A91" t="s">
        <v>162</v>
      </c>
      <c r="B91">
        <v>32</v>
      </c>
      <c r="C91" t="s">
        <v>131</v>
      </c>
      <c r="D91" t="s">
        <v>60</v>
      </c>
      <c r="E91">
        <v>42100</v>
      </c>
      <c r="F91">
        <v>2</v>
      </c>
      <c r="G91">
        <v>7</v>
      </c>
    </row>
    <row r="92" spans="1:7">
      <c r="A92" t="s">
        <v>163</v>
      </c>
      <c r="B92">
        <v>27</v>
      </c>
      <c r="C92" t="s">
        <v>131</v>
      </c>
      <c r="D92" t="s">
        <v>64</v>
      </c>
      <c r="E92">
        <v>40500</v>
      </c>
      <c r="F92">
        <v>3</v>
      </c>
      <c r="G92">
        <v>10</v>
      </c>
    </row>
    <row r="93" spans="1:7">
      <c r="A93" t="s">
        <v>164</v>
      </c>
      <c r="B93">
        <v>34</v>
      </c>
      <c r="C93" t="s">
        <v>131</v>
      </c>
      <c r="D93" t="s">
        <v>64</v>
      </c>
      <c r="E93">
        <v>35100</v>
      </c>
      <c r="F93">
        <v>6</v>
      </c>
      <c r="G93">
        <v>4</v>
      </c>
    </row>
    <row r="94" spans="1:7">
      <c r="A94" t="s">
        <v>165</v>
      </c>
      <c r="B94">
        <v>46</v>
      </c>
      <c r="C94" t="s">
        <v>131</v>
      </c>
      <c r="D94" t="s">
        <v>92</v>
      </c>
      <c r="E94">
        <v>22100</v>
      </c>
      <c r="F94">
        <v>2</v>
      </c>
      <c r="G94">
        <v>5</v>
      </c>
    </row>
    <row r="95" spans="1:7">
      <c r="A95" t="s">
        <v>166</v>
      </c>
      <c r="B95">
        <v>40</v>
      </c>
      <c r="C95" t="s">
        <v>131</v>
      </c>
      <c r="D95" t="s">
        <v>67</v>
      </c>
      <c r="E95">
        <v>23000</v>
      </c>
      <c r="F95">
        <v>4</v>
      </c>
      <c r="G95">
        <v>5</v>
      </c>
    </row>
    <row r="96" spans="1:7">
      <c r="A96" t="s">
        <v>167</v>
      </c>
      <c r="B96">
        <v>43</v>
      </c>
      <c r="C96" t="s">
        <v>131</v>
      </c>
      <c r="D96" t="s">
        <v>60</v>
      </c>
      <c r="E96">
        <v>54000</v>
      </c>
      <c r="F96">
        <v>3</v>
      </c>
      <c r="G96">
        <v>7</v>
      </c>
    </row>
    <row r="97" spans="1:7">
      <c r="A97" t="s">
        <v>168</v>
      </c>
      <c r="B97">
        <v>46</v>
      </c>
      <c r="C97" t="s">
        <v>131</v>
      </c>
      <c r="D97" t="s">
        <v>60</v>
      </c>
      <c r="E97">
        <v>48500</v>
      </c>
      <c r="F97">
        <v>1</v>
      </c>
      <c r="G97">
        <v>4</v>
      </c>
    </row>
    <row r="98" spans="1:7">
      <c r="A98" t="s">
        <v>169</v>
      </c>
      <c r="B98">
        <v>38</v>
      </c>
      <c r="C98" t="s">
        <v>170</v>
      </c>
      <c r="D98" t="s">
        <v>80</v>
      </c>
      <c r="E98">
        <v>55100</v>
      </c>
      <c r="F98">
        <v>3</v>
      </c>
      <c r="G98">
        <v>9</v>
      </c>
    </row>
    <row r="99" spans="1:7">
      <c r="A99" t="s">
        <v>171</v>
      </c>
      <c r="B99">
        <v>45</v>
      </c>
      <c r="C99" t="s">
        <v>170</v>
      </c>
      <c r="D99" t="s">
        <v>92</v>
      </c>
      <c r="E99">
        <v>23700</v>
      </c>
      <c r="F99">
        <v>8</v>
      </c>
      <c r="G99">
        <v>9</v>
      </c>
    </row>
    <row r="100" spans="1:7">
      <c r="A100" t="s">
        <v>172</v>
      </c>
      <c r="B100">
        <v>51</v>
      </c>
      <c r="C100" t="s">
        <v>170</v>
      </c>
      <c r="D100" t="s">
        <v>60</v>
      </c>
      <c r="E100">
        <v>85340</v>
      </c>
      <c r="F100">
        <v>11</v>
      </c>
      <c r="G100">
        <v>4</v>
      </c>
    </row>
    <row r="101" spans="1:7">
      <c r="A101" t="s">
        <v>173</v>
      </c>
      <c r="B101">
        <v>42</v>
      </c>
      <c r="C101" t="s">
        <v>170</v>
      </c>
      <c r="D101" t="s">
        <v>60</v>
      </c>
      <c r="E101">
        <v>34600</v>
      </c>
      <c r="F101">
        <v>3</v>
      </c>
      <c r="G101">
        <v>5</v>
      </c>
    </row>
    <row r="102" spans="1:7">
      <c r="A102" t="s">
        <v>174</v>
      </c>
      <c r="B102">
        <v>35</v>
      </c>
      <c r="C102" t="s">
        <v>170</v>
      </c>
      <c r="D102" t="s">
        <v>77</v>
      </c>
      <c r="E102">
        <v>51300</v>
      </c>
      <c r="F102">
        <v>1</v>
      </c>
      <c r="G102">
        <v>7</v>
      </c>
    </row>
  </sheetData>
  <mergeCells count="2">
    <mergeCell ref="J2:M7"/>
    <mergeCell ref="J1:K1"/>
  </mergeCells>
  <dataValidations count="2">
    <dataValidation type="textLength" operator="equal" allowBlank="1" showInputMessage="1" showErrorMessage="1" sqref="C1:C1048576" xr:uid="{F9CFDB2D-590B-4EA7-B4C7-944A58029474}">
      <formula1>1</formula1>
    </dataValidation>
    <dataValidation type="whole" allowBlank="1" showInputMessage="1" showErrorMessage="1" sqref="B1:B1048576" xr:uid="{8AB3084C-A16B-4CF3-A91A-D653031BAD88}">
      <formula1>18</formula1>
      <formula2>75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A872-8DB5-4EEC-A36C-83A87F3BE30C}">
  <sheetPr filterMode="1"/>
  <dimension ref="A1:G115"/>
  <sheetViews>
    <sheetView workbookViewId="0">
      <selection activeCell="B106" sqref="B106:G115"/>
    </sheetView>
  </sheetViews>
  <sheetFormatPr defaultColWidth="8.85546875" defaultRowHeight="14.45"/>
  <cols>
    <col min="1" max="1" width="18.28515625" bestFit="1" customWidth="1"/>
    <col min="2" max="2" width="4.28515625" bestFit="1" customWidth="1"/>
    <col min="3" max="3" width="7.42578125" bestFit="1" customWidth="1"/>
    <col min="4" max="4" width="32.42578125" bestFit="1" customWidth="1"/>
    <col min="5" max="5" width="9.28515625" bestFit="1" customWidth="1"/>
    <col min="6" max="6" width="16.5703125" bestFit="1" customWidth="1"/>
    <col min="7" max="7" width="17.85546875" bestFit="1" customWidth="1"/>
  </cols>
  <sheetData>
    <row r="1" spans="1:7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</row>
    <row r="2" spans="1:7" hidden="1">
      <c r="A2" t="s">
        <v>58</v>
      </c>
      <c r="B2">
        <v>38</v>
      </c>
      <c r="C2" t="s">
        <v>59</v>
      </c>
      <c r="D2" t="s">
        <v>60</v>
      </c>
      <c r="E2">
        <v>32600</v>
      </c>
      <c r="F2">
        <v>9</v>
      </c>
      <c r="G2">
        <v>4</v>
      </c>
    </row>
    <row r="3" spans="1:7" hidden="1">
      <c r="A3" t="s">
        <v>62</v>
      </c>
      <c r="B3">
        <v>35</v>
      </c>
      <c r="C3" t="s">
        <v>59</v>
      </c>
      <c r="D3" t="s">
        <v>60</v>
      </c>
      <c r="E3">
        <v>51000</v>
      </c>
      <c r="F3">
        <v>10</v>
      </c>
      <c r="G3">
        <v>8</v>
      </c>
    </row>
    <row r="4" spans="1:7" hidden="1">
      <c r="A4" t="s">
        <v>63</v>
      </c>
      <c r="B4">
        <v>40</v>
      </c>
      <c r="C4" t="s">
        <v>59</v>
      </c>
      <c r="D4" t="s">
        <v>64</v>
      </c>
      <c r="E4">
        <v>27800</v>
      </c>
      <c r="F4">
        <v>0</v>
      </c>
      <c r="G4">
        <v>4</v>
      </c>
    </row>
    <row r="5" spans="1:7" hidden="1">
      <c r="A5" t="s">
        <v>65</v>
      </c>
      <c r="B5">
        <v>43</v>
      </c>
      <c r="C5" t="s">
        <v>59</v>
      </c>
      <c r="D5" t="s">
        <v>64</v>
      </c>
      <c r="E5">
        <v>28700</v>
      </c>
      <c r="F5">
        <v>14</v>
      </c>
      <c r="G5">
        <v>9</v>
      </c>
    </row>
    <row r="6" spans="1:7" hidden="1">
      <c r="A6" t="s">
        <v>66</v>
      </c>
      <c r="B6">
        <v>62</v>
      </c>
      <c r="C6" t="s">
        <v>59</v>
      </c>
      <c r="D6" t="s">
        <v>67</v>
      </c>
      <c r="E6">
        <v>15500</v>
      </c>
      <c r="F6">
        <v>17</v>
      </c>
      <c r="G6">
        <v>3</v>
      </c>
    </row>
    <row r="7" spans="1:7" hidden="1">
      <c r="A7" t="s">
        <v>68</v>
      </c>
      <c r="B7">
        <v>49</v>
      </c>
      <c r="C7" t="s">
        <v>59</v>
      </c>
      <c r="D7" t="s">
        <v>60</v>
      </c>
      <c r="E7">
        <v>25200</v>
      </c>
      <c r="F7">
        <v>3</v>
      </c>
      <c r="G7">
        <v>8</v>
      </c>
    </row>
    <row r="8" spans="1:7" hidden="1">
      <c r="A8" t="s">
        <v>70</v>
      </c>
      <c r="B8">
        <v>52</v>
      </c>
      <c r="C8" t="s">
        <v>59</v>
      </c>
      <c r="D8" t="s">
        <v>64</v>
      </c>
      <c r="E8">
        <v>39100</v>
      </c>
      <c r="F8">
        <v>2</v>
      </c>
      <c r="G8">
        <v>7</v>
      </c>
    </row>
    <row r="9" spans="1:7" hidden="1">
      <c r="A9" t="s">
        <v>71</v>
      </c>
      <c r="B9">
        <v>56</v>
      </c>
      <c r="C9" t="s">
        <v>59</v>
      </c>
      <c r="D9" t="s">
        <v>64</v>
      </c>
      <c r="E9">
        <v>35600</v>
      </c>
      <c r="F9">
        <v>4</v>
      </c>
      <c r="G9">
        <v>4</v>
      </c>
    </row>
    <row r="10" spans="1:7" hidden="1">
      <c r="A10" t="s">
        <v>73</v>
      </c>
      <c r="B10">
        <v>35</v>
      </c>
      <c r="C10" t="s">
        <v>59</v>
      </c>
      <c r="D10" t="s">
        <v>60</v>
      </c>
      <c r="E10">
        <v>51400</v>
      </c>
      <c r="F10">
        <v>3</v>
      </c>
      <c r="G10">
        <v>5</v>
      </c>
    </row>
    <row r="11" spans="1:7" hidden="1">
      <c r="A11" t="s">
        <v>74</v>
      </c>
      <c r="B11">
        <v>33</v>
      </c>
      <c r="C11" t="s">
        <v>59</v>
      </c>
      <c r="D11" t="s">
        <v>60</v>
      </c>
      <c r="E11">
        <v>43300</v>
      </c>
      <c r="F11">
        <v>6</v>
      </c>
      <c r="G11">
        <v>2</v>
      </c>
    </row>
    <row r="12" spans="1:7" hidden="1">
      <c r="A12" t="s">
        <v>75</v>
      </c>
      <c r="B12">
        <v>55</v>
      </c>
      <c r="C12" t="s">
        <v>59</v>
      </c>
      <c r="D12" t="s">
        <v>60</v>
      </c>
      <c r="E12">
        <v>46100</v>
      </c>
      <c r="F12">
        <v>3</v>
      </c>
      <c r="G12">
        <v>10</v>
      </c>
    </row>
    <row r="13" spans="1:7" hidden="1">
      <c r="A13" t="s">
        <v>76</v>
      </c>
      <c r="B13">
        <v>34</v>
      </c>
      <c r="C13" t="s">
        <v>59</v>
      </c>
      <c r="D13" t="s">
        <v>77</v>
      </c>
      <c r="E13">
        <v>41100</v>
      </c>
      <c r="F13">
        <v>4</v>
      </c>
      <c r="G13">
        <v>1</v>
      </c>
    </row>
    <row r="14" spans="1:7" hidden="1">
      <c r="A14" t="s">
        <v>78</v>
      </c>
      <c r="B14">
        <v>40</v>
      </c>
      <c r="C14" t="s">
        <v>59</v>
      </c>
      <c r="D14" t="s">
        <v>60</v>
      </c>
      <c r="E14">
        <v>37500</v>
      </c>
      <c r="F14">
        <v>7</v>
      </c>
      <c r="G14">
        <v>1</v>
      </c>
    </row>
    <row r="15" spans="1:7">
      <c r="A15" t="s">
        <v>79</v>
      </c>
      <c r="B15">
        <v>34</v>
      </c>
      <c r="C15" t="s">
        <v>59</v>
      </c>
      <c r="D15" t="s">
        <v>80</v>
      </c>
      <c r="E15">
        <v>41000</v>
      </c>
      <c r="F15">
        <v>3</v>
      </c>
      <c r="G15">
        <v>2</v>
      </c>
    </row>
    <row r="16" spans="1:7" hidden="1">
      <c r="A16" t="s">
        <v>81</v>
      </c>
      <c r="B16">
        <v>56</v>
      </c>
      <c r="C16" t="s">
        <v>59</v>
      </c>
      <c r="D16" t="s">
        <v>60</v>
      </c>
      <c r="E16">
        <v>48000</v>
      </c>
      <c r="F16">
        <v>6</v>
      </c>
      <c r="G16">
        <v>8</v>
      </c>
    </row>
    <row r="17" spans="1:7" hidden="1">
      <c r="A17" t="s">
        <v>82</v>
      </c>
      <c r="B17">
        <v>35</v>
      </c>
      <c r="C17" t="s">
        <v>59</v>
      </c>
      <c r="D17" t="s">
        <v>60</v>
      </c>
      <c r="E17">
        <v>64100</v>
      </c>
      <c r="F17">
        <v>1</v>
      </c>
      <c r="G17">
        <v>8</v>
      </c>
    </row>
    <row r="18" spans="1:7">
      <c r="A18" t="s">
        <v>83</v>
      </c>
      <c r="B18">
        <v>43</v>
      </c>
      <c r="C18" t="s">
        <v>59</v>
      </c>
      <c r="D18" t="s">
        <v>80</v>
      </c>
      <c r="E18">
        <v>56400</v>
      </c>
      <c r="F18">
        <v>11</v>
      </c>
      <c r="G18">
        <v>1</v>
      </c>
    </row>
    <row r="19" spans="1:7" hidden="1">
      <c r="A19" t="s">
        <v>84</v>
      </c>
      <c r="B19">
        <v>31</v>
      </c>
      <c r="C19" t="s">
        <v>59</v>
      </c>
      <c r="D19" t="s">
        <v>60</v>
      </c>
      <c r="E19">
        <v>37000</v>
      </c>
      <c r="F19">
        <v>31</v>
      </c>
      <c r="G19">
        <v>8</v>
      </c>
    </row>
    <row r="20" spans="1:7" hidden="1">
      <c r="A20" t="s">
        <v>85</v>
      </c>
      <c r="B20">
        <v>37</v>
      </c>
      <c r="C20" t="s">
        <v>59</v>
      </c>
      <c r="D20" t="s">
        <v>60</v>
      </c>
      <c r="E20">
        <v>44300</v>
      </c>
      <c r="F20">
        <v>10</v>
      </c>
      <c r="G20">
        <v>3</v>
      </c>
    </row>
    <row r="21" spans="1:7" hidden="1">
      <c r="A21" t="s">
        <v>86</v>
      </c>
      <c r="B21">
        <v>29</v>
      </c>
      <c r="C21" t="s">
        <v>59</v>
      </c>
      <c r="D21" t="s">
        <v>60</v>
      </c>
      <c r="E21">
        <v>28000</v>
      </c>
      <c r="F21">
        <v>5</v>
      </c>
      <c r="G21">
        <v>8</v>
      </c>
    </row>
    <row r="22" spans="1:7" hidden="1">
      <c r="A22" t="s">
        <v>87</v>
      </c>
      <c r="B22">
        <v>60</v>
      </c>
      <c r="C22" t="s">
        <v>59</v>
      </c>
      <c r="D22" t="s">
        <v>60</v>
      </c>
      <c r="E22">
        <v>38200</v>
      </c>
      <c r="F22">
        <v>6</v>
      </c>
      <c r="G22">
        <v>3</v>
      </c>
    </row>
    <row r="23" spans="1:7" hidden="1">
      <c r="A23" t="s">
        <v>88</v>
      </c>
      <c r="B23">
        <v>51</v>
      </c>
      <c r="C23" t="s">
        <v>59</v>
      </c>
      <c r="D23" t="s">
        <v>60</v>
      </c>
      <c r="E23">
        <v>47200</v>
      </c>
      <c r="F23">
        <v>5</v>
      </c>
      <c r="G23">
        <v>8</v>
      </c>
    </row>
    <row r="24" spans="1:7" hidden="1">
      <c r="A24" t="s">
        <v>90</v>
      </c>
      <c r="B24">
        <v>46</v>
      </c>
      <c r="C24" t="s">
        <v>59</v>
      </c>
      <c r="D24" t="s">
        <v>64</v>
      </c>
      <c r="E24">
        <v>31500</v>
      </c>
      <c r="F24">
        <v>2</v>
      </c>
      <c r="G24">
        <v>1</v>
      </c>
    </row>
    <row r="25" spans="1:7" hidden="1">
      <c r="A25" t="s">
        <v>91</v>
      </c>
      <c r="B25">
        <v>42</v>
      </c>
      <c r="C25" t="s">
        <v>59</v>
      </c>
      <c r="D25" t="s">
        <v>92</v>
      </c>
      <c r="E25">
        <v>24200</v>
      </c>
      <c r="F25">
        <v>4</v>
      </c>
      <c r="G25">
        <v>8</v>
      </c>
    </row>
    <row r="26" spans="1:7" hidden="1">
      <c r="A26" t="s">
        <v>93</v>
      </c>
      <c r="B26">
        <v>43</v>
      </c>
      <c r="C26" t="s">
        <v>59</v>
      </c>
      <c r="D26" t="s">
        <v>60</v>
      </c>
      <c r="E26">
        <v>55100</v>
      </c>
      <c r="F26">
        <v>10</v>
      </c>
      <c r="G26">
        <v>1</v>
      </c>
    </row>
    <row r="27" spans="1:7" hidden="1">
      <c r="A27" t="s">
        <v>94</v>
      </c>
      <c r="B27">
        <v>54</v>
      </c>
      <c r="C27" t="s">
        <v>59</v>
      </c>
      <c r="D27" t="s">
        <v>77</v>
      </c>
      <c r="E27">
        <v>37600</v>
      </c>
      <c r="F27">
        <v>15</v>
      </c>
      <c r="G27">
        <v>6</v>
      </c>
    </row>
    <row r="28" spans="1:7" hidden="1">
      <c r="A28" t="s">
        <v>95</v>
      </c>
      <c r="B28">
        <v>48</v>
      </c>
      <c r="C28" t="s">
        <v>59</v>
      </c>
      <c r="D28" t="s">
        <v>92</v>
      </c>
      <c r="E28">
        <v>27100</v>
      </c>
      <c r="F28">
        <v>2</v>
      </c>
      <c r="G28">
        <v>3</v>
      </c>
    </row>
    <row r="29" spans="1:7" hidden="1">
      <c r="A29" t="s">
        <v>96</v>
      </c>
      <c r="B29">
        <v>52</v>
      </c>
      <c r="C29" t="s">
        <v>59</v>
      </c>
      <c r="D29" t="s">
        <v>64</v>
      </c>
      <c r="E29">
        <v>45400</v>
      </c>
      <c r="F29">
        <v>2</v>
      </c>
      <c r="G29">
        <v>2</v>
      </c>
    </row>
    <row r="30" spans="1:7" hidden="1">
      <c r="A30" t="s">
        <v>97</v>
      </c>
      <c r="B30">
        <v>42</v>
      </c>
      <c r="C30" t="s">
        <v>59</v>
      </c>
      <c r="D30" t="s">
        <v>60</v>
      </c>
      <c r="E30">
        <v>50800</v>
      </c>
      <c r="F30">
        <v>6</v>
      </c>
      <c r="G30">
        <v>8</v>
      </c>
    </row>
    <row r="31" spans="1:7" hidden="1">
      <c r="A31" t="s">
        <v>98</v>
      </c>
      <c r="B31">
        <v>39</v>
      </c>
      <c r="C31" t="s">
        <v>59</v>
      </c>
      <c r="D31" t="s">
        <v>64</v>
      </c>
      <c r="E31">
        <v>31000</v>
      </c>
      <c r="F31">
        <v>44</v>
      </c>
      <c r="G31">
        <v>6</v>
      </c>
    </row>
    <row r="32" spans="1:7" hidden="1">
      <c r="A32" t="s">
        <v>99</v>
      </c>
      <c r="B32">
        <v>42</v>
      </c>
      <c r="C32" t="s">
        <v>59</v>
      </c>
      <c r="D32" t="s">
        <v>92</v>
      </c>
      <c r="E32">
        <v>23000</v>
      </c>
      <c r="F32">
        <v>3</v>
      </c>
      <c r="G32">
        <v>10</v>
      </c>
    </row>
    <row r="33" spans="1:7" hidden="1">
      <c r="A33" t="s">
        <v>100</v>
      </c>
      <c r="B33">
        <v>46</v>
      </c>
      <c r="C33" t="s">
        <v>59</v>
      </c>
      <c r="D33" t="s">
        <v>60</v>
      </c>
      <c r="E33">
        <v>53200</v>
      </c>
      <c r="F33">
        <v>11</v>
      </c>
      <c r="G33">
        <v>11</v>
      </c>
    </row>
    <row r="34" spans="1:7" hidden="1">
      <c r="A34" t="s">
        <v>101</v>
      </c>
      <c r="B34">
        <v>53</v>
      </c>
      <c r="C34" t="s">
        <v>59</v>
      </c>
      <c r="D34" t="s">
        <v>64</v>
      </c>
      <c r="E34">
        <v>39100</v>
      </c>
      <c r="F34">
        <v>7</v>
      </c>
      <c r="G34">
        <v>1</v>
      </c>
    </row>
    <row r="35" spans="1:7" hidden="1">
      <c r="A35" t="s">
        <v>102</v>
      </c>
      <c r="B35">
        <v>40</v>
      </c>
      <c r="C35" t="s">
        <v>59</v>
      </c>
      <c r="D35" t="s">
        <v>60</v>
      </c>
      <c r="E35">
        <v>41500</v>
      </c>
      <c r="F35">
        <v>9</v>
      </c>
      <c r="G35">
        <v>9</v>
      </c>
    </row>
    <row r="36" spans="1:7" hidden="1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</row>
    <row r="37" spans="1:7" hidden="1">
      <c r="A37" t="s">
        <v>104</v>
      </c>
      <c r="B37">
        <v>61</v>
      </c>
      <c r="C37" t="s">
        <v>59</v>
      </c>
      <c r="D37" t="s">
        <v>64</v>
      </c>
      <c r="E37">
        <v>35500</v>
      </c>
      <c r="F37">
        <v>0</v>
      </c>
      <c r="G37">
        <v>10</v>
      </c>
    </row>
    <row r="38" spans="1:7" hidden="1">
      <c r="A38" t="s">
        <v>105</v>
      </c>
      <c r="B38">
        <v>44</v>
      </c>
      <c r="C38" t="s">
        <v>59</v>
      </c>
      <c r="D38" t="s">
        <v>64</v>
      </c>
      <c r="E38">
        <v>46100</v>
      </c>
      <c r="F38">
        <v>0</v>
      </c>
      <c r="G38">
        <v>9</v>
      </c>
    </row>
    <row r="39" spans="1:7" hidden="1">
      <c r="A39" t="s">
        <v>106</v>
      </c>
      <c r="B39">
        <v>48</v>
      </c>
      <c r="C39" t="s">
        <v>59</v>
      </c>
      <c r="D39" t="s">
        <v>60</v>
      </c>
      <c r="E39">
        <v>37300</v>
      </c>
      <c r="F39">
        <v>4</v>
      </c>
      <c r="G39">
        <v>7</v>
      </c>
    </row>
    <row r="40" spans="1:7" hidden="1">
      <c r="A40" t="s">
        <v>107</v>
      </c>
      <c r="B40">
        <v>38</v>
      </c>
      <c r="C40" t="s">
        <v>59</v>
      </c>
      <c r="D40" t="s">
        <v>108</v>
      </c>
      <c r="E40">
        <v>62600</v>
      </c>
      <c r="F40">
        <v>0</v>
      </c>
      <c r="G40">
        <v>4</v>
      </c>
    </row>
    <row r="41" spans="1:7" hidden="1">
      <c r="A41" t="s">
        <v>109</v>
      </c>
      <c r="B41">
        <v>31</v>
      </c>
      <c r="C41" t="s">
        <v>59</v>
      </c>
      <c r="D41" t="s">
        <v>64</v>
      </c>
      <c r="E41">
        <v>29400</v>
      </c>
      <c r="F41">
        <v>12</v>
      </c>
      <c r="G41">
        <v>4</v>
      </c>
    </row>
    <row r="42" spans="1:7" hidden="1">
      <c r="A42" t="s">
        <v>110</v>
      </c>
      <c r="B42">
        <v>54</v>
      </c>
      <c r="C42" t="s">
        <v>59</v>
      </c>
      <c r="D42" t="s">
        <v>60</v>
      </c>
      <c r="E42">
        <v>53200</v>
      </c>
      <c r="F42">
        <v>2</v>
      </c>
      <c r="G42">
        <v>3</v>
      </c>
    </row>
    <row r="43" spans="1:7">
      <c r="A43" t="s">
        <v>111</v>
      </c>
      <c r="B43">
        <v>52</v>
      </c>
      <c r="C43" t="s">
        <v>59</v>
      </c>
      <c r="D43" t="s">
        <v>80</v>
      </c>
      <c r="E43">
        <v>45600</v>
      </c>
      <c r="F43">
        <v>4</v>
      </c>
      <c r="G43">
        <v>9</v>
      </c>
    </row>
    <row r="44" spans="1:7" hidden="1">
      <c r="A44" t="s">
        <v>112</v>
      </c>
      <c r="B44">
        <v>51</v>
      </c>
      <c r="C44" t="s">
        <v>59</v>
      </c>
      <c r="D44" t="s">
        <v>77</v>
      </c>
      <c r="E44">
        <v>45400</v>
      </c>
      <c r="F44">
        <v>5</v>
      </c>
      <c r="G44">
        <v>1</v>
      </c>
    </row>
    <row r="45" spans="1:7" hidden="1">
      <c r="A45" t="s">
        <v>113</v>
      </c>
      <c r="B45">
        <v>54</v>
      </c>
      <c r="C45" t="s">
        <v>59</v>
      </c>
      <c r="D45" t="s">
        <v>67</v>
      </c>
      <c r="E45">
        <v>30500</v>
      </c>
      <c r="F45">
        <v>11</v>
      </c>
      <c r="G45">
        <v>8</v>
      </c>
    </row>
    <row r="46" spans="1:7" hidden="1">
      <c r="A46" t="s">
        <v>114</v>
      </c>
      <c r="B46">
        <v>49</v>
      </c>
      <c r="C46" t="s">
        <v>59</v>
      </c>
      <c r="D46" t="s">
        <v>77</v>
      </c>
      <c r="E46">
        <v>51500</v>
      </c>
      <c r="F46">
        <v>0</v>
      </c>
      <c r="G46">
        <v>1</v>
      </c>
    </row>
    <row r="47" spans="1:7">
      <c r="A47" t="s">
        <v>115</v>
      </c>
      <c r="B47">
        <v>42</v>
      </c>
      <c r="C47" t="s">
        <v>59</v>
      </c>
      <c r="D47" t="s">
        <v>80</v>
      </c>
      <c r="E47">
        <v>48700</v>
      </c>
      <c r="F47">
        <v>4</v>
      </c>
      <c r="G47">
        <v>1</v>
      </c>
    </row>
    <row r="48" spans="1:7" hidden="1">
      <c r="A48" t="s">
        <v>116</v>
      </c>
      <c r="B48">
        <v>55</v>
      </c>
      <c r="C48" t="s">
        <v>59</v>
      </c>
      <c r="D48" t="s">
        <v>60</v>
      </c>
      <c r="E48">
        <v>34200</v>
      </c>
      <c r="F48">
        <v>4</v>
      </c>
      <c r="G48">
        <v>6</v>
      </c>
    </row>
    <row r="49" spans="1:7" hidden="1">
      <c r="A49" t="s">
        <v>117</v>
      </c>
      <c r="B49">
        <v>47</v>
      </c>
      <c r="C49" t="s">
        <v>59</v>
      </c>
      <c r="D49" t="s">
        <v>60</v>
      </c>
      <c r="E49">
        <v>53400</v>
      </c>
      <c r="F49">
        <v>8</v>
      </c>
      <c r="G49">
        <v>1</v>
      </c>
    </row>
    <row r="50" spans="1:7" hidden="1">
      <c r="A50" t="s">
        <v>118</v>
      </c>
      <c r="B50">
        <v>43</v>
      </c>
      <c r="C50" t="s">
        <v>59</v>
      </c>
      <c r="D50" t="s">
        <v>67</v>
      </c>
      <c r="E50">
        <v>33700</v>
      </c>
      <c r="F50">
        <v>3</v>
      </c>
      <c r="G50">
        <v>8</v>
      </c>
    </row>
    <row r="51" spans="1:7" hidden="1">
      <c r="A51" t="s">
        <v>119</v>
      </c>
      <c r="B51">
        <v>48</v>
      </c>
      <c r="C51" t="s">
        <v>59</v>
      </c>
      <c r="D51" t="s">
        <v>64</v>
      </c>
      <c r="E51">
        <v>19900</v>
      </c>
      <c r="F51">
        <v>7</v>
      </c>
      <c r="G51">
        <v>6</v>
      </c>
    </row>
    <row r="52" spans="1:7">
      <c r="A52" t="s">
        <v>120</v>
      </c>
      <c r="B52">
        <v>35</v>
      </c>
      <c r="C52" t="s">
        <v>59</v>
      </c>
      <c r="D52" t="s">
        <v>80</v>
      </c>
      <c r="E52">
        <v>32700</v>
      </c>
      <c r="F52">
        <v>0</v>
      </c>
      <c r="G52">
        <v>3</v>
      </c>
    </row>
    <row r="53" spans="1:7">
      <c r="A53" t="s">
        <v>121</v>
      </c>
      <c r="B53">
        <v>33</v>
      </c>
      <c r="C53" t="s">
        <v>59</v>
      </c>
      <c r="D53" t="s">
        <v>80</v>
      </c>
      <c r="E53">
        <v>56600</v>
      </c>
      <c r="F53">
        <v>6</v>
      </c>
      <c r="G53">
        <v>9</v>
      </c>
    </row>
    <row r="54" spans="1:7" hidden="1">
      <c r="A54" t="s">
        <v>122</v>
      </c>
      <c r="B54">
        <v>46</v>
      </c>
      <c r="C54" t="s">
        <v>59</v>
      </c>
      <c r="D54" t="s">
        <v>92</v>
      </c>
      <c r="E54">
        <v>23000</v>
      </c>
      <c r="F54">
        <v>2</v>
      </c>
      <c r="G54">
        <v>7</v>
      </c>
    </row>
    <row r="55" spans="1:7" hidden="1">
      <c r="A55" t="s">
        <v>123</v>
      </c>
      <c r="B55">
        <v>46</v>
      </c>
      <c r="C55" t="s">
        <v>59</v>
      </c>
      <c r="D55" t="s">
        <v>108</v>
      </c>
      <c r="E55">
        <v>54500</v>
      </c>
      <c r="F55">
        <v>10</v>
      </c>
      <c r="G55">
        <v>5</v>
      </c>
    </row>
    <row r="56" spans="1:7" hidden="1">
      <c r="A56" t="s">
        <v>124</v>
      </c>
      <c r="B56">
        <v>51</v>
      </c>
      <c r="C56" t="s">
        <v>59</v>
      </c>
      <c r="D56" t="s">
        <v>60</v>
      </c>
      <c r="E56">
        <v>46200</v>
      </c>
      <c r="F56">
        <v>8</v>
      </c>
      <c r="G56">
        <v>7</v>
      </c>
    </row>
    <row r="57" spans="1:7" hidden="1">
      <c r="A57" t="s">
        <v>125</v>
      </c>
      <c r="B57">
        <v>44</v>
      </c>
      <c r="C57" t="s">
        <v>59</v>
      </c>
      <c r="D57" t="s">
        <v>67</v>
      </c>
      <c r="E57">
        <v>30200</v>
      </c>
      <c r="F57">
        <v>19</v>
      </c>
      <c r="G57">
        <v>1</v>
      </c>
    </row>
    <row r="58" spans="1:7" hidden="1">
      <c r="A58" t="s">
        <v>126</v>
      </c>
      <c r="B58">
        <v>55</v>
      </c>
      <c r="C58" t="s">
        <v>59</v>
      </c>
      <c r="D58" t="s">
        <v>60</v>
      </c>
      <c r="E58">
        <v>59600</v>
      </c>
      <c r="F58">
        <v>13</v>
      </c>
      <c r="G58">
        <v>3</v>
      </c>
    </row>
    <row r="59" spans="1:7" hidden="1">
      <c r="A59" t="s">
        <v>127</v>
      </c>
      <c r="B59">
        <v>57</v>
      </c>
      <c r="C59" t="s">
        <v>59</v>
      </c>
      <c r="D59" t="s">
        <v>67</v>
      </c>
      <c r="E59">
        <v>34800</v>
      </c>
      <c r="F59">
        <v>9</v>
      </c>
      <c r="G59">
        <v>2</v>
      </c>
    </row>
    <row r="60" spans="1:7" hidden="1">
      <c r="A60" t="s">
        <v>128</v>
      </c>
      <c r="B60">
        <v>53</v>
      </c>
      <c r="C60" t="s">
        <v>59</v>
      </c>
      <c r="D60" t="s">
        <v>92</v>
      </c>
      <c r="E60">
        <v>28100</v>
      </c>
      <c r="F60">
        <v>5</v>
      </c>
      <c r="G60">
        <v>2</v>
      </c>
    </row>
    <row r="61" spans="1:7" hidden="1">
      <c r="A61" t="s">
        <v>129</v>
      </c>
      <c r="B61">
        <v>57</v>
      </c>
      <c r="C61" t="s">
        <v>59</v>
      </c>
      <c r="D61" t="s">
        <v>64</v>
      </c>
      <c r="E61">
        <v>19300</v>
      </c>
      <c r="F61">
        <v>0</v>
      </c>
      <c r="G61">
        <v>4</v>
      </c>
    </row>
    <row r="62" spans="1:7" hidden="1">
      <c r="A62" t="s">
        <v>130</v>
      </c>
      <c r="B62">
        <v>36</v>
      </c>
      <c r="C62" t="s">
        <v>131</v>
      </c>
      <c r="D62" t="s">
        <v>60</v>
      </c>
      <c r="E62">
        <v>45600</v>
      </c>
      <c r="F62">
        <v>17</v>
      </c>
      <c r="G62">
        <v>7</v>
      </c>
    </row>
    <row r="63" spans="1:7" hidden="1">
      <c r="A63" t="s">
        <v>132</v>
      </c>
      <c r="B63">
        <v>42</v>
      </c>
      <c r="C63" t="s">
        <v>131</v>
      </c>
      <c r="D63" t="s">
        <v>67</v>
      </c>
      <c r="E63">
        <v>29700</v>
      </c>
      <c r="F63">
        <v>4</v>
      </c>
      <c r="G63">
        <v>4</v>
      </c>
    </row>
    <row r="64" spans="1:7" hidden="1">
      <c r="A64" t="s">
        <v>133</v>
      </c>
      <c r="B64">
        <v>32</v>
      </c>
      <c r="C64" t="s">
        <v>131</v>
      </c>
      <c r="D64" t="s">
        <v>64</v>
      </c>
      <c r="E64">
        <v>41200</v>
      </c>
      <c r="F64">
        <v>0</v>
      </c>
      <c r="G64">
        <v>6</v>
      </c>
    </row>
    <row r="65" spans="1:7" hidden="1">
      <c r="A65" t="s">
        <v>134</v>
      </c>
      <c r="B65">
        <v>50</v>
      </c>
      <c r="C65" t="s">
        <v>131</v>
      </c>
      <c r="D65" t="s">
        <v>64</v>
      </c>
      <c r="E65">
        <v>39800</v>
      </c>
      <c r="F65">
        <v>0</v>
      </c>
      <c r="G65">
        <v>5</v>
      </c>
    </row>
    <row r="66" spans="1:7" hidden="1">
      <c r="A66" t="s">
        <v>136</v>
      </c>
      <c r="B66">
        <v>61</v>
      </c>
      <c r="C66" t="s">
        <v>131</v>
      </c>
      <c r="D66" t="s">
        <v>60</v>
      </c>
      <c r="E66">
        <v>59600</v>
      </c>
      <c r="F66">
        <v>8</v>
      </c>
      <c r="G66">
        <v>4</v>
      </c>
    </row>
    <row r="67" spans="1:7" hidden="1">
      <c r="A67" t="s">
        <v>137</v>
      </c>
      <c r="B67">
        <v>52</v>
      </c>
      <c r="C67" t="s">
        <v>131</v>
      </c>
      <c r="D67" t="s">
        <v>64</v>
      </c>
      <c r="E67">
        <v>34900</v>
      </c>
      <c r="F67">
        <v>9</v>
      </c>
      <c r="G67">
        <v>5</v>
      </c>
    </row>
    <row r="68" spans="1:7" hidden="1">
      <c r="A68" t="s">
        <v>138</v>
      </c>
      <c r="B68">
        <v>42</v>
      </c>
      <c r="C68" t="s">
        <v>131</v>
      </c>
      <c r="D68" t="s">
        <v>92</v>
      </c>
      <c r="E68">
        <v>18800</v>
      </c>
      <c r="F68">
        <v>3</v>
      </c>
      <c r="G68">
        <v>7</v>
      </c>
    </row>
    <row r="69" spans="1:7" hidden="1">
      <c r="A69" t="s">
        <v>139</v>
      </c>
      <c r="B69">
        <v>42</v>
      </c>
      <c r="C69" t="s">
        <v>131</v>
      </c>
      <c r="D69" t="s">
        <v>60</v>
      </c>
      <c r="E69">
        <v>29500</v>
      </c>
      <c r="F69">
        <v>6</v>
      </c>
      <c r="G69">
        <v>4</v>
      </c>
    </row>
    <row r="70" spans="1:7" hidden="1">
      <c r="A70" t="s">
        <v>141</v>
      </c>
      <c r="B70">
        <v>54</v>
      </c>
      <c r="C70" t="s">
        <v>131</v>
      </c>
      <c r="D70" t="s">
        <v>108</v>
      </c>
      <c r="E70">
        <v>64900</v>
      </c>
      <c r="F70">
        <v>0</v>
      </c>
      <c r="G70">
        <v>4</v>
      </c>
    </row>
    <row r="71" spans="1:7" hidden="1">
      <c r="A71" t="s">
        <v>142</v>
      </c>
      <c r="B71">
        <v>40</v>
      </c>
      <c r="C71" t="s">
        <v>131</v>
      </c>
      <c r="D71" t="s">
        <v>60</v>
      </c>
      <c r="E71">
        <v>38900</v>
      </c>
      <c r="F71">
        <v>8</v>
      </c>
      <c r="G71">
        <v>3</v>
      </c>
    </row>
    <row r="72" spans="1:7">
      <c r="A72" t="s">
        <v>143</v>
      </c>
      <c r="B72">
        <v>55</v>
      </c>
      <c r="C72" t="s">
        <v>131</v>
      </c>
      <c r="D72" t="s">
        <v>80</v>
      </c>
      <c r="E72">
        <v>50100</v>
      </c>
      <c r="F72">
        <v>2</v>
      </c>
      <c r="G72">
        <v>5</v>
      </c>
    </row>
    <row r="73" spans="1:7" hidden="1">
      <c r="A73" t="s">
        <v>144</v>
      </c>
      <c r="B73">
        <v>52</v>
      </c>
      <c r="C73" t="s">
        <v>131</v>
      </c>
      <c r="D73" t="s">
        <v>77</v>
      </c>
      <c r="E73">
        <v>60000</v>
      </c>
      <c r="F73">
        <v>6</v>
      </c>
      <c r="G73">
        <v>1</v>
      </c>
    </row>
    <row r="74" spans="1:7" hidden="1">
      <c r="A74" t="s">
        <v>145</v>
      </c>
      <c r="B74">
        <v>32</v>
      </c>
      <c r="C74" t="s">
        <v>131</v>
      </c>
      <c r="D74" t="s">
        <v>60</v>
      </c>
      <c r="E74">
        <v>49600</v>
      </c>
      <c r="F74">
        <v>5</v>
      </c>
      <c r="G74">
        <v>3</v>
      </c>
    </row>
    <row r="75" spans="1:7" hidden="1">
      <c r="A75" t="s">
        <v>146</v>
      </c>
      <c r="B75">
        <v>32</v>
      </c>
      <c r="C75" t="s">
        <v>131</v>
      </c>
      <c r="D75" t="s">
        <v>60</v>
      </c>
      <c r="E75">
        <v>44100</v>
      </c>
      <c r="F75">
        <v>4</v>
      </c>
      <c r="G75">
        <v>4</v>
      </c>
    </row>
    <row r="76" spans="1:7">
      <c r="A76" t="s">
        <v>147</v>
      </c>
      <c r="B76">
        <v>30</v>
      </c>
      <c r="C76" t="s">
        <v>131</v>
      </c>
      <c r="D76" t="s">
        <v>80</v>
      </c>
      <c r="E76">
        <v>42600</v>
      </c>
      <c r="F76">
        <v>15</v>
      </c>
      <c r="G76">
        <v>10</v>
      </c>
    </row>
    <row r="77" spans="1:7" hidden="1">
      <c r="A77" t="s">
        <v>148</v>
      </c>
      <c r="B77">
        <v>28</v>
      </c>
      <c r="C77" t="s">
        <v>131</v>
      </c>
      <c r="D77" t="s">
        <v>77</v>
      </c>
      <c r="E77">
        <v>30700</v>
      </c>
      <c r="F77">
        <v>3</v>
      </c>
      <c r="G77">
        <v>2</v>
      </c>
    </row>
    <row r="78" spans="1:7" hidden="1">
      <c r="A78" t="s">
        <v>149</v>
      </c>
      <c r="B78">
        <v>42</v>
      </c>
      <c r="C78" t="s">
        <v>131</v>
      </c>
      <c r="D78" t="s">
        <v>64</v>
      </c>
      <c r="E78">
        <v>44800</v>
      </c>
      <c r="F78">
        <v>3</v>
      </c>
      <c r="G78">
        <v>10</v>
      </c>
    </row>
    <row r="79" spans="1:7" hidden="1">
      <c r="A79" t="s">
        <v>150</v>
      </c>
      <c r="B79">
        <v>15</v>
      </c>
      <c r="C79" t="s">
        <v>131</v>
      </c>
      <c r="D79" t="s">
        <v>77</v>
      </c>
      <c r="E79">
        <v>31600</v>
      </c>
      <c r="F79">
        <v>2</v>
      </c>
      <c r="G79">
        <v>6</v>
      </c>
    </row>
    <row r="80" spans="1:7" hidden="1">
      <c r="A80" t="s">
        <v>151</v>
      </c>
      <c r="B80">
        <v>52</v>
      </c>
      <c r="C80" t="s">
        <v>131</v>
      </c>
      <c r="D80" t="s">
        <v>64</v>
      </c>
      <c r="E80">
        <v>28500</v>
      </c>
      <c r="F80">
        <v>16</v>
      </c>
      <c r="G80">
        <v>6</v>
      </c>
    </row>
    <row r="81" spans="1:7" hidden="1">
      <c r="A81" t="s">
        <v>153</v>
      </c>
      <c r="B81">
        <v>29</v>
      </c>
      <c r="C81" t="s">
        <v>131</v>
      </c>
      <c r="D81" t="s">
        <v>64</v>
      </c>
      <c r="E81">
        <v>39500</v>
      </c>
      <c r="F81">
        <v>19</v>
      </c>
      <c r="G81">
        <v>9</v>
      </c>
    </row>
    <row r="82" spans="1:7" hidden="1">
      <c r="A82" t="s">
        <v>154</v>
      </c>
      <c r="B82">
        <v>42</v>
      </c>
      <c r="C82" t="s">
        <v>131</v>
      </c>
      <c r="D82" t="s">
        <v>108</v>
      </c>
      <c r="E82">
        <v>63300</v>
      </c>
      <c r="F82">
        <v>5</v>
      </c>
      <c r="G82">
        <v>10</v>
      </c>
    </row>
    <row r="83" spans="1:7">
      <c r="A83" t="s">
        <v>155</v>
      </c>
      <c r="B83">
        <v>54</v>
      </c>
      <c r="C83" t="s">
        <v>131</v>
      </c>
      <c r="D83" t="s">
        <v>80</v>
      </c>
      <c r="E83">
        <v>47900</v>
      </c>
      <c r="F83">
        <v>8</v>
      </c>
      <c r="G83">
        <v>1</v>
      </c>
    </row>
    <row r="84" spans="1:7" hidden="1">
      <c r="A84" t="s">
        <v>137</v>
      </c>
      <c r="B84">
        <v>52</v>
      </c>
      <c r="C84" t="s">
        <v>131</v>
      </c>
      <c r="D84" t="s">
        <v>64</v>
      </c>
      <c r="E84">
        <v>34900</v>
      </c>
      <c r="F84">
        <v>9</v>
      </c>
      <c r="G84">
        <v>5</v>
      </c>
    </row>
    <row r="85" spans="1:7" hidden="1">
      <c r="A85" t="s">
        <v>156</v>
      </c>
      <c r="B85">
        <v>48</v>
      </c>
      <c r="C85" t="s">
        <v>131</v>
      </c>
      <c r="D85" t="s">
        <v>60</v>
      </c>
      <c r="E85">
        <v>57400</v>
      </c>
      <c r="F85">
        <v>1</v>
      </c>
      <c r="G85">
        <v>4</v>
      </c>
    </row>
    <row r="86" spans="1:7" hidden="1">
      <c r="A86" t="s">
        <v>157</v>
      </c>
      <c r="B86">
        <v>61</v>
      </c>
      <c r="C86" t="s">
        <v>131</v>
      </c>
      <c r="D86" t="s">
        <v>64</v>
      </c>
      <c r="E86">
        <v>19200</v>
      </c>
      <c r="F86">
        <v>6</v>
      </c>
      <c r="G86">
        <v>3</v>
      </c>
    </row>
    <row r="87" spans="1:7" hidden="1">
      <c r="A87" t="s">
        <v>158</v>
      </c>
      <c r="B87">
        <v>32</v>
      </c>
      <c r="C87" t="s">
        <v>131</v>
      </c>
      <c r="D87" t="s">
        <v>60</v>
      </c>
      <c r="E87">
        <v>49200</v>
      </c>
      <c r="F87">
        <v>6</v>
      </c>
      <c r="G87">
        <v>4</v>
      </c>
    </row>
    <row r="88" spans="1:7" hidden="1">
      <c r="A88" t="s">
        <v>159</v>
      </c>
      <c r="B88">
        <v>45</v>
      </c>
      <c r="C88" t="s">
        <v>131</v>
      </c>
      <c r="D88" t="s">
        <v>67</v>
      </c>
      <c r="E88">
        <v>27400</v>
      </c>
      <c r="F88">
        <v>11</v>
      </c>
      <c r="G88">
        <v>9</v>
      </c>
    </row>
    <row r="89" spans="1:7" hidden="1">
      <c r="A89" t="s">
        <v>160</v>
      </c>
      <c r="B89">
        <v>51</v>
      </c>
      <c r="C89" t="s">
        <v>131</v>
      </c>
      <c r="D89" t="s">
        <v>67</v>
      </c>
      <c r="E89">
        <v>33400</v>
      </c>
      <c r="F89">
        <v>6</v>
      </c>
      <c r="G89">
        <v>10</v>
      </c>
    </row>
    <row r="90" spans="1:7" hidden="1">
      <c r="A90" t="s">
        <v>161</v>
      </c>
      <c r="B90">
        <v>54</v>
      </c>
      <c r="C90" t="s">
        <v>131</v>
      </c>
      <c r="D90" t="s">
        <v>60</v>
      </c>
      <c r="E90">
        <v>40700</v>
      </c>
      <c r="F90">
        <v>10</v>
      </c>
      <c r="G90">
        <v>1</v>
      </c>
    </row>
    <row r="91" spans="1:7" hidden="1">
      <c r="A91" t="s">
        <v>162</v>
      </c>
      <c r="B91">
        <v>32</v>
      </c>
      <c r="C91" t="s">
        <v>131</v>
      </c>
      <c r="D91" t="s">
        <v>60</v>
      </c>
      <c r="E91">
        <v>42100</v>
      </c>
      <c r="F91">
        <v>2</v>
      </c>
      <c r="G91">
        <v>7</v>
      </c>
    </row>
    <row r="92" spans="1:7" hidden="1">
      <c r="A92" t="s">
        <v>163</v>
      </c>
      <c r="B92">
        <v>27</v>
      </c>
      <c r="C92" t="s">
        <v>131</v>
      </c>
      <c r="D92" t="s">
        <v>64</v>
      </c>
      <c r="E92">
        <v>40500</v>
      </c>
      <c r="F92">
        <v>3</v>
      </c>
      <c r="G92">
        <v>10</v>
      </c>
    </row>
    <row r="93" spans="1:7" hidden="1">
      <c r="A93" t="s">
        <v>164</v>
      </c>
      <c r="B93">
        <v>34</v>
      </c>
      <c r="C93" t="s">
        <v>131</v>
      </c>
      <c r="D93" t="s">
        <v>64</v>
      </c>
      <c r="E93">
        <v>35100</v>
      </c>
      <c r="F93">
        <v>6</v>
      </c>
      <c r="G93">
        <v>4</v>
      </c>
    </row>
    <row r="94" spans="1:7" hidden="1">
      <c r="A94" t="s">
        <v>165</v>
      </c>
      <c r="B94">
        <v>46</v>
      </c>
      <c r="C94" t="s">
        <v>131</v>
      </c>
      <c r="D94" t="s">
        <v>92</v>
      </c>
      <c r="E94">
        <v>22100</v>
      </c>
      <c r="F94">
        <v>2</v>
      </c>
      <c r="G94">
        <v>5</v>
      </c>
    </row>
    <row r="95" spans="1:7" hidden="1">
      <c r="A95" t="s">
        <v>166</v>
      </c>
      <c r="B95">
        <v>40</v>
      </c>
      <c r="C95" t="s">
        <v>131</v>
      </c>
      <c r="D95" t="s">
        <v>67</v>
      </c>
      <c r="E95">
        <v>23000</v>
      </c>
      <c r="F95">
        <v>4</v>
      </c>
      <c r="G95">
        <v>5</v>
      </c>
    </row>
    <row r="96" spans="1:7" hidden="1">
      <c r="A96" t="s">
        <v>167</v>
      </c>
      <c r="B96">
        <v>43</v>
      </c>
      <c r="C96" t="s">
        <v>131</v>
      </c>
      <c r="D96" t="s">
        <v>60</v>
      </c>
      <c r="E96">
        <v>54000</v>
      </c>
      <c r="F96">
        <v>3</v>
      </c>
      <c r="G96">
        <v>7</v>
      </c>
    </row>
    <row r="97" spans="1:7" hidden="1">
      <c r="A97" t="s">
        <v>168</v>
      </c>
      <c r="B97">
        <v>46</v>
      </c>
      <c r="C97" t="s">
        <v>131</v>
      </c>
      <c r="D97" t="s">
        <v>60</v>
      </c>
      <c r="E97">
        <v>48500</v>
      </c>
      <c r="F97">
        <v>1</v>
      </c>
      <c r="G97">
        <v>4</v>
      </c>
    </row>
    <row r="98" spans="1:7">
      <c r="A98" t="s">
        <v>169</v>
      </c>
      <c r="B98">
        <v>38</v>
      </c>
      <c r="C98" t="s">
        <v>170</v>
      </c>
      <c r="D98" t="s">
        <v>80</v>
      </c>
      <c r="E98">
        <v>55100</v>
      </c>
      <c r="F98">
        <v>3</v>
      </c>
      <c r="G98">
        <v>9</v>
      </c>
    </row>
    <row r="99" spans="1:7" hidden="1">
      <c r="A99" t="s">
        <v>171</v>
      </c>
      <c r="B99">
        <v>45</v>
      </c>
      <c r="C99" t="s">
        <v>170</v>
      </c>
      <c r="D99" t="s">
        <v>92</v>
      </c>
      <c r="E99">
        <v>23700</v>
      </c>
      <c r="F99">
        <v>8</v>
      </c>
      <c r="G99">
        <v>9</v>
      </c>
    </row>
    <row r="100" spans="1:7" hidden="1">
      <c r="A100" t="s">
        <v>172</v>
      </c>
      <c r="B100">
        <v>51</v>
      </c>
      <c r="C100" t="s">
        <v>170</v>
      </c>
      <c r="D100" t="s">
        <v>60</v>
      </c>
      <c r="E100">
        <v>85340</v>
      </c>
      <c r="F100">
        <v>11</v>
      </c>
      <c r="G100">
        <v>4</v>
      </c>
    </row>
    <row r="101" spans="1:7" hidden="1">
      <c r="A101" t="s">
        <v>173</v>
      </c>
      <c r="B101">
        <v>42</v>
      </c>
      <c r="C101" t="s">
        <v>170</v>
      </c>
      <c r="D101" t="s">
        <v>60</v>
      </c>
      <c r="E101">
        <v>34600</v>
      </c>
      <c r="F101">
        <v>3</v>
      </c>
      <c r="G101">
        <v>5</v>
      </c>
    </row>
    <row r="102" spans="1:7" hidden="1">
      <c r="A102" t="s">
        <v>174</v>
      </c>
      <c r="B102">
        <v>35</v>
      </c>
      <c r="C102" t="s">
        <v>170</v>
      </c>
      <c r="D102" t="s">
        <v>77</v>
      </c>
      <c r="E102">
        <v>51300</v>
      </c>
      <c r="F102">
        <v>1</v>
      </c>
      <c r="G102">
        <v>7</v>
      </c>
    </row>
    <row r="104" spans="1:7" ht="15" thickBot="1"/>
    <row r="105" spans="1:7" ht="15" thickBot="1">
      <c r="B105" s="29" t="s">
        <v>57</v>
      </c>
      <c r="C105" s="30"/>
    </row>
    <row r="106" spans="1:7" ht="15">
      <c r="B106" s="31" t="s">
        <v>61</v>
      </c>
      <c r="C106" s="32"/>
      <c r="D106" s="32"/>
      <c r="E106" s="32"/>
      <c r="F106" s="32"/>
      <c r="G106" s="33"/>
    </row>
    <row r="107" spans="1:7">
      <c r="B107" s="34"/>
      <c r="C107" s="35"/>
      <c r="D107" s="35"/>
      <c r="E107" s="35"/>
      <c r="F107" s="35"/>
      <c r="G107" s="36"/>
    </row>
    <row r="108" spans="1:7">
      <c r="B108" s="34"/>
      <c r="C108" s="35"/>
      <c r="D108" s="35"/>
      <c r="E108" s="35"/>
      <c r="F108" s="35"/>
      <c r="G108" s="36"/>
    </row>
    <row r="109" spans="1:7">
      <c r="B109" s="34"/>
      <c r="C109" s="35"/>
      <c r="D109" s="35"/>
      <c r="E109" s="35"/>
      <c r="F109" s="35"/>
      <c r="G109" s="36"/>
    </row>
    <row r="110" spans="1:7">
      <c r="B110" s="34"/>
      <c r="C110" s="35"/>
      <c r="D110" s="35"/>
      <c r="E110" s="35"/>
      <c r="F110" s="35"/>
      <c r="G110" s="36"/>
    </row>
    <row r="111" spans="1:7">
      <c r="B111" s="34"/>
      <c r="C111" s="35"/>
      <c r="D111" s="35"/>
      <c r="E111" s="35"/>
      <c r="F111" s="35"/>
      <c r="G111" s="36"/>
    </row>
    <row r="112" spans="1:7">
      <c r="B112" s="34"/>
      <c r="C112" s="35"/>
      <c r="D112" s="35"/>
      <c r="E112" s="35"/>
      <c r="F112" s="35"/>
      <c r="G112" s="36"/>
    </row>
    <row r="113" spans="2:7">
      <c r="B113" s="34"/>
      <c r="C113" s="35"/>
      <c r="D113" s="35"/>
      <c r="E113" s="35"/>
      <c r="F113" s="35"/>
      <c r="G113" s="36"/>
    </row>
    <row r="114" spans="2:7">
      <c r="B114" s="34"/>
      <c r="C114" s="35"/>
      <c r="D114" s="35"/>
      <c r="E114" s="35"/>
      <c r="F114" s="35"/>
      <c r="G114" s="36"/>
    </row>
    <row r="115" spans="2:7" ht="15" thickBot="1">
      <c r="B115" s="37"/>
      <c r="C115" s="38"/>
      <c r="D115" s="38"/>
      <c r="E115" s="38"/>
      <c r="F115" s="38"/>
      <c r="G115" s="39"/>
    </row>
  </sheetData>
  <autoFilter ref="A1:G102" xr:uid="{5A2BA872-8DB5-4EEC-A36C-83A87F3BE30C}">
    <filterColumn colId="3">
      <filters>
        <filter val="Data"/>
      </filters>
    </filterColumn>
  </autoFilter>
  <mergeCells count="2">
    <mergeCell ref="B105:C105"/>
    <mergeCell ref="B106:G1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EA84-E23B-48D7-A9F4-56E778659F2C}">
  <sheetPr filterMode="1"/>
  <dimension ref="A1:G115"/>
  <sheetViews>
    <sheetView topLeftCell="A79" workbookViewId="0">
      <selection activeCell="B106" sqref="B106:G115"/>
    </sheetView>
  </sheetViews>
  <sheetFormatPr defaultColWidth="8.85546875" defaultRowHeight="14.45"/>
  <cols>
    <col min="1" max="1" width="18.28515625" bestFit="1" customWidth="1"/>
    <col min="2" max="2" width="4.28515625" bestFit="1" customWidth="1"/>
    <col min="3" max="3" width="7.42578125" bestFit="1" customWidth="1"/>
    <col min="4" max="4" width="32.42578125" bestFit="1" customWidth="1"/>
    <col min="5" max="5" width="9.28515625" bestFit="1" customWidth="1"/>
    <col min="6" max="6" width="16.5703125" bestFit="1" customWidth="1"/>
    <col min="7" max="7" width="17.85546875" bestFit="1" customWidth="1"/>
  </cols>
  <sheetData>
    <row r="1" spans="1:7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</row>
    <row r="2" spans="1:7">
      <c r="A2" t="s">
        <v>58</v>
      </c>
      <c r="B2">
        <v>38</v>
      </c>
      <c r="C2" t="s">
        <v>59</v>
      </c>
      <c r="D2" t="s">
        <v>60</v>
      </c>
      <c r="E2">
        <v>32600</v>
      </c>
      <c r="F2">
        <v>9</v>
      </c>
      <c r="G2">
        <v>4</v>
      </c>
    </row>
    <row r="3" spans="1:7" hidden="1">
      <c r="A3" t="s">
        <v>62</v>
      </c>
      <c r="B3">
        <v>35</v>
      </c>
      <c r="C3" t="s">
        <v>59</v>
      </c>
      <c r="D3" t="s">
        <v>60</v>
      </c>
      <c r="E3">
        <v>51000</v>
      </c>
      <c r="F3">
        <v>10</v>
      </c>
      <c r="G3">
        <v>8</v>
      </c>
    </row>
    <row r="4" spans="1:7" hidden="1">
      <c r="A4" t="s">
        <v>63</v>
      </c>
      <c r="B4">
        <v>40</v>
      </c>
      <c r="C4" t="s">
        <v>59</v>
      </c>
      <c r="D4" t="s">
        <v>64</v>
      </c>
      <c r="E4">
        <v>27800</v>
      </c>
      <c r="F4">
        <v>0</v>
      </c>
      <c r="G4">
        <v>4</v>
      </c>
    </row>
    <row r="5" spans="1:7" hidden="1">
      <c r="A5" t="s">
        <v>65</v>
      </c>
      <c r="B5">
        <v>43</v>
      </c>
      <c r="C5" t="s">
        <v>59</v>
      </c>
      <c r="D5" t="s">
        <v>64</v>
      </c>
      <c r="E5">
        <v>28700</v>
      </c>
      <c r="F5">
        <v>14</v>
      </c>
      <c r="G5">
        <v>9</v>
      </c>
    </row>
    <row r="6" spans="1:7" hidden="1">
      <c r="A6" t="s">
        <v>66</v>
      </c>
      <c r="B6">
        <v>62</v>
      </c>
      <c r="C6" t="s">
        <v>59</v>
      </c>
      <c r="D6" t="s">
        <v>67</v>
      </c>
      <c r="E6">
        <v>15500</v>
      </c>
      <c r="F6">
        <v>17</v>
      </c>
      <c r="G6">
        <v>3</v>
      </c>
    </row>
    <row r="7" spans="1:7" hidden="1">
      <c r="A7" t="s">
        <v>68</v>
      </c>
      <c r="B7">
        <v>49</v>
      </c>
      <c r="C7" t="s">
        <v>59</v>
      </c>
      <c r="D7" t="s">
        <v>60</v>
      </c>
      <c r="E7">
        <v>25200</v>
      </c>
      <c r="F7">
        <v>3</v>
      </c>
      <c r="G7">
        <v>8</v>
      </c>
    </row>
    <row r="8" spans="1:7">
      <c r="A8" t="s">
        <v>70</v>
      </c>
      <c r="B8">
        <v>52</v>
      </c>
      <c r="C8" t="s">
        <v>59</v>
      </c>
      <c r="D8" t="s">
        <v>64</v>
      </c>
      <c r="E8">
        <v>39100</v>
      </c>
      <c r="F8">
        <v>2</v>
      </c>
      <c r="G8">
        <v>7</v>
      </c>
    </row>
    <row r="9" spans="1:7">
      <c r="A9" t="s">
        <v>71</v>
      </c>
      <c r="B9">
        <v>56</v>
      </c>
      <c r="C9" t="s">
        <v>59</v>
      </c>
      <c r="D9" t="s">
        <v>64</v>
      </c>
      <c r="E9">
        <v>35600</v>
      </c>
      <c r="F9">
        <v>4</v>
      </c>
      <c r="G9">
        <v>4</v>
      </c>
    </row>
    <row r="10" spans="1:7" hidden="1">
      <c r="A10" t="s">
        <v>73</v>
      </c>
      <c r="B10">
        <v>35</v>
      </c>
      <c r="C10" t="s">
        <v>59</v>
      </c>
      <c r="D10" t="s">
        <v>60</v>
      </c>
      <c r="E10">
        <v>51400</v>
      </c>
      <c r="F10">
        <v>3</v>
      </c>
      <c r="G10">
        <v>5</v>
      </c>
    </row>
    <row r="11" spans="1:7" hidden="1">
      <c r="A11" t="s">
        <v>74</v>
      </c>
      <c r="B11">
        <v>33</v>
      </c>
      <c r="C11" t="s">
        <v>59</v>
      </c>
      <c r="D11" t="s">
        <v>60</v>
      </c>
      <c r="E11">
        <v>43300</v>
      </c>
      <c r="F11">
        <v>6</v>
      </c>
      <c r="G11">
        <v>2</v>
      </c>
    </row>
    <row r="12" spans="1:7" hidden="1">
      <c r="A12" t="s">
        <v>75</v>
      </c>
      <c r="B12">
        <v>55</v>
      </c>
      <c r="C12" t="s">
        <v>59</v>
      </c>
      <c r="D12" t="s">
        <v>60</v>
      </c>
      <c r="E12">
        <v>46100</v>
      </c>
      <c r="F12">
        <v>3</v>
      </c>
      <c r="G12">
        <v>10</v>
      </c>
    </row>
    <row r="13" spans="1:7" hidden="1">
      <c r="A13" t="s">
        <v>76</v>
      </c>
      <c r="B13">
        <v>34</v>
      </c>
      <c r="C13" t="s">
        <v>59</v>
      </c>
      <c r="D13" t="s">
        <v>77</v>
      </c>
      <c r="E13">
        <v>41100</v>
      </c>
      <c r="F13">
        <v>4</v>
      </c>
      <c r="G13">
        <v>1</v>
      </c>
    </row>
    <row r="14" spans="1:7">
      <c r="A14" t="s">
        <v>78</v>
      </c>
      <c r="B14">
        <v>40</v>
      </c>
      <c r="C14" t="s">
        <v>59</v>
      </c>
      <c r="D14" t="s">
        <v>60</v>
      </c>
      <c r="E14">
        <v>37500</v>
      </c>
      <c r="F14">
        <v>7</v>
      </c>
      <c r="G14">
        <v>1</v>
      </c>
    </row>
    <row r="15" spans="1:7" hidden="1">
      <c r="A15" t="s">
        <v>79</v>
      </c>
      <c r="B15">
        <v>34</v>
      </c>
      <c r="C15" t="s">
        <v>59</v>
      </c>
      <c r="D15" t="s">
        <v>80</v>
      </c>
      <c r="E15">
        <v>41000</v>
      </c>
      <c r="F15">
        <v>3</v>
      </c>
      <c r="G15">
        <v>2</v>
      </c>
    </row>
    <row r="16" spans="1:7" hidden="1">
      <c r="A16" t="s">
        <v>81</v>
      </c>
      <c r="B16">
        <v>56</v>
      </c>
      <c r="C16" t="s">
        <v>59</v>
      </c>
      <c r="D16" t="s">
        <v>60</v>
      </c>
      <c r="E16">
        <v>48000</v>
      </c>
      <c r="F16">
        <v>6</v>
      </c>
      <c r="G16">
        <v>8</v>
      </c>
    </row>
    <row r="17" spans="1:7" hidden="1">
      <c r="A17" t="s">
        <v>82</v>
      </c>
      <c r="B17">
        <v>35</v>
      </c>
      <c r="C17" t="s">
        <v>59</v>
      </c>
      <c r="D17" t="s">
        <v>60</v>
      </c>
      <c r="E17">
        <v>64100</v>
      </c>
      <c r="F17">
        <v>1</v>
      </c>
      <c r="G17">
        <v>8</v>
      </c>
    </row>
    <row r="18" spans="1:7" hidden="1">
      <c r="A18" t="s">
        <v>83</v>
      </c>
      <c r="B18">
        <v>43</v>
      </c>
      <c r="C18" t="s">
        <v>59</v>
      </c>
      <c r="D18" t="s">
        <v>80</v>
      </c>
      <c r="E18">
        <v>56400</v>
      </c>
      <c r="F18">
        <v>11</v>
      </c>
      <c r="G18">
        <v>1</v>
      </c>
    </row>
    <row r="19" spans="1:7">
      <c r="A19" t="s">
        <v>84</v>
      </c>
      <c r="B19">
        <v>31</v>
      </c>
      <c r="C19" t="s">
        <v>59</v>
      </c>
      <c r="D19" t="s">
        <v>60</v>
      </c>
      <c r="E19">
        <v>37000</v>
      </c>
      <c r="F19">
        <v>31</v>
      </c>
      <c r="G19">
        <v>8</v>
      </c>
    </row>
    <row r="20" spans="1:7" hidden="1">
      <c r="A20" t="s">
        <v>85</v>
      </c>
      <c r="B20">
        <v>37</v>
      </c>
      <c r="C20" t="s">
        <v>59</v>
      </c>
      <c r="D20" t="s">
        <v>60</v>
      </c>
      <c r="E20">
        <v>44300</v>
      </c>
      <c r="F20">
        <v>10</v>
      </c>
      <c r="G20">
        <v>3</v>
      </c>
    </row>
    <row r="21" spans="1:7" hidden="1">
      <c r="A21" t="s">
        <v>86</v>
      </c>
      <c r="B21">
        <v>29</v>
      </c>
      <c r="C21" t="s">
        <v>59</v>
      </c>
      <c r="D21" t="s">
        <v>60</v>
      </c>
      <c r="E21">
        <v>28000</v>
      </c>
      <c r="F21">
        <v>5</v>
      </c>
      <c r="G21">
        <v>8</v>
      </c>
    </row>
    <row r="22" spans="1:7">
      <c r="A22" t="s">
        <v>87</v>
      </c>
      <c r="B22">
        <v>60</v>
      </c>
      <c r="C22" t="s">
        <v>59</v>
      </c>
      <c r="D22" t="s">
        <v>60</v>
      </c>
      <c r="E22">
        <v>38200</v>
      </c>
      <c r="F22">
        <v>6</v>
      </c>
      <c r="G22">
        <v>3</v>
      </c>
    </row>
    <row r="23" spans="1:7" hidden="1">
      <c r="A23" t="s">
        <v>88</v>
      </c>
      <c r="B23">
        <v>51</v>
      </c>
      <c r="C23" t="s">
        <v>59</v>
      </c>
      <c r="D23" t="s">
        <v>60</v>
      </c>
      <c r="E23">
        <v>47200</v>
      </c>
      <c r="F23">
        <v>5</v>
      </c>
      <c r="G23">
        <v>8</v>
      </c>
    </row>
    <row r="24" spans="1:7">
      <c r="A24" t="s">
        <v>90</v>
      </c>
      <c r="B24">
        <v>46</v>
      </c>
      <c r="C24" t="s">
        <v>59</v>
      </c>
      <c r="D24" t="s">
        <v>64</v>
      </c>
      <c r="E24">
        <v>31500</v>
      </c>
      <c r="F24">
        <v>2</v>
      </c>
      <c r="G24">
        <v>1</v>
      </c>
    </row>
    <row r="25" spans="1:7" hidden="1">
      <c r="A25" t="s">
        <v>91</v>
      </c>
      <c r="B25">
        <v>42</v>
      </c>
      <c r="C25" t="s">
        <v>59</v>
      </c>
      <c r="D25" t="s">
        <v>92</v>
      </c>
      <c r="E25">
        <v>24200</v>
      </c>
      <c r="F25">
        <v>4</v>
      </c>
      <c r="G25">
        <v>8</v>
      </c>
    </row>
    <row r="26" spans="1:7" hidden="1">
      <c r="A26" t="s">
        <v>93</v>
      </c>
      <c r="B26">
        <v>43</v>
      </c>
      <c r="C26" t="s">
        <v>59</v>
      </c>
      <c r="D26" t="s">
        <v>60</v>
      </c>
      <c r="E26">
        <v>55100</v>
      </c>
      <c r="F26">
        <v>10</v>
      </c>
      <c r="G26">
        <v>1</v>
      </c>
    </row>
    <row r="27" spans="1:7">
      <c r="A27" t="s">
        <v>94</v>
      </c>
      <c r="B27">
        <v>54</v>
      </c>
      <c r="C27" t="s">
        <v>59</v>
      </c>
      <c r="D27" t="s">
        <v>77</v>
      </c>
      <c r="E27">
        <v>37600</v>
      </c>
      <c r="F27">
        <v>15</v>
      </c>
      <c r="G27">
        <v>6</v>
      </c>
    </row>
    <row r="28" spans="1:7" hidden="1">
      <c r="A28" t="s">
        <v>95</v>
      </c>
      <c r="B28">
        <v>48</v>
      </c>
      <c r="C28" t="s">
        <v>59</v>
      </c>
      <c r="D28" t="s">
        <v>92</v>
      </c>
      <c r="E28">
        <v>27100</v>
      </c>
      <c r="F28">
        <v>2</v>
      </c>
      <c r="G28">
        <v>3</v>
      </c>
    </row>
    <row r="29" spans="1:7" hidden="1">
      <c r="A29" t="s">
        <v>96</v>
      </c>
      <c r="B29">
        <v>52</v>
      </c>
      <c r="C29" t="s">
        <v>59</v>
      </c>
      <c r="D29" t="s">
        <v>64</v>
      </c>
      <c r="E29">
        <v>45400</v>
      </c>
      <c r="F29">
        <v>2</v>
      </c>
      <c r="G29">
        <v>2</v>
      </c>
    </row>
    <row r="30" spans="1:7" hidden="1">
      <c r="A30" t="s">
        <v>97</v>
      </c>
      <c r="B30">
        <v>42</v>
      </c>
      <c r="C30" t="s">
        <v>59</v>
      </c>
      <c r="D30" t="s">
        <v>60</v>
      </c>
      <c r="E30">
        <v>50800</v>
      </c>
      <c r="F30">
        <v>6</v>
      </c>
      <c r="G30">
        <v>8</v>
      </c>
    </row>
    <row r="31" spans="1:7">
      <c r="A31" t="s">
        <v>98</v>
      </c>
      <c r="B31">
        <v>39</v>
      </c>
      <c r="C31" t="s">
        <v>59</v>
      </c>
      <c r="D31" t="s">
        <v>64</v>
      </c>
      <c r="E31">
        <v>31000</v>
      </c>
      <c r="F31">
        <v>44</v>
      </c>
      <c r="G31">
        <v>6</v>
      </c>
    </row>
    <row r="32" spans="1:7" hidden="1">
      <c r="A32" t="s">
        <v>99</v>
      </c>
      <c r="B32">
        <v>42</v>
      </c>
      <c r="C32" t="s">
        <v>59</v>
      </c>
      <c r="D32" t="s">
        <v>92</v>
      </c>
      <c r="E32">
        <v>23000</v>
      </c>
      <c r="F32">
        <v>3</v>
      </c>
      <c r="G32">
        <v>10</v>
      </c>
    </row>
    <row r="33" spans="1:7" hidden="1">
      <c r="A33" t="s">
        <v>100</v>
      </c>
      <c r="B33">
        <v>46</v>
      </c>
      <c r="C33" t="s">
        <v>59</v>
      </c>
      <c r="D33" t="s">
        <v>60</v>
      </c>
      <c r="E33">
        <v>53200</v>
      </c>
      <c r="F33">
        <v>11</v>
      </c>
      <c r="G33">
        <v>11</v>
      </c>
    </row>
    <row r="34" spans="1:7">
      <c r="A34" t="s">
        <v>101</v>
      </c>
      <c r="B34">
        <v>53</v>
      </c>
      <c r="C34" t="s">
        <v>59</v>
      </c>
      <c r="D34" t="s">
        <v>64</v>
      </c>
      <c r="E34">
        <v>39100</v>
      </c>
      <c r="F34">
        <v>7</v>
      </c>
      <c r="G34">
        <v>1</v>
      </c>
    </row>
    <row r="35" spans="1:7" hidden="1">
      <c r="A35" t="s">
        <v>102</v>
      </c>
      <c r="B35">
        <v>40</v>
      </c>
      <c r="C35" t="s">
        <v>59</v>
      </c>
      <c r="D35" t="s">
        <v>60</v>
      </c>
      <c r="E35">
        <v>41500</v>
      </c>
      <c r="F35">
        <v>9</v>
      </c>
      <c r="G35">
        <v>9</v>
      </c>
    </row>
    <row r="36" spans="1:7" hidden="1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</row>
    <row r="37" spans="1:7">
      <c r="A37" t="s">
        <v>104</v>
      </c>
      <c r="B37">
        <v>61</v>
      </c>
      <c r="C37" t="s">
        <v>59</v>
      </c>
      <c r="D37" t="s">
        <v>64</v>
      </c>
      <c r="E37">
        <v>35500</v>
      </c>
      <c r="F37">
        <v>0</v>
      </c>
      <c r="G37">
        <v>10</v>
      </c>
    </row>
    <row r="38" spans="1:7" hidden="1">
      <c r="A38" t="s">
        <v>105</v>
      </c>
      <c r="B38">
        <v>44</v>
      </c>
      <c r="C38" t="s">
        <v>59</v>
      </c>
      <c r="D38" t="s">
        <v>64</v>
      </c>
      <c r="E38">
        <v>46100</v>
      </c>
      <c r="F38">
        <v>0</v>
      </c>
      <c r="G38">
        <v>9</v>
      </c>
    </row>
    <row r="39" spans="1:7">
      <c r="A39" t="s">
        <v>106</v>
      </c>
      <c r="B39">
        <v>48</v>
      </c>
      <c r="C39" t="s">
        <v>59</v>
      </c>
      <c r="D39" t="s">
        <v>60</v>
      </c>
      <c r="E39">
        <v>37300</v>
      </c>
      <c r="F39">
        <v>4</v>
      </c>
      <c r="G39">
        <v>7</v>
      </c>
    </row>
    <row r="40" spans="1:7" hidden="1">
      <c r="A40" t="s">
        <v>107</v>
      </c>
      <c r="B40">
        <v>38</v>
      </c>
      <c r="C40" t="s">
        <v>59</v>
      </c>
      <c r="D40" t="s">
        <v>108</v>
      </c>
      <c r="E40">
        <v>62600</v>
      </c>
      <c r="F40">
        <v>0</v>
      </c>
      <c r="G40">
        <v>4</v>
      </c>
    </row>
    <row r="41" spans="1:7" hidden="1">
      <c r="A41" t="s">
        <v>109</v>
      </c>
      <c r="B41">
        <v>31</v>
      </c>
      <c r="C41" t="s">
        <v>59</v>
      </c>
      <c r="D41" t="s">
        <v>64</v>
      </c>
      <c r="E41">
        <v>29400</v>
      </c>
      <c r="F41">
        <v>12</v>
      </c>
      <c r="G41">
        <v>4</v>
      </c>
    </row>
    <row r="42" spans="1:7" hidden="1">
      <c r="A42" t="s">
        <v>110</v>
      </c>
      <c r="B42">
        <v>54</v>
      </c>
      <c r="C42" t="s">
        <v>59</v>
      </c>
      <c r="D42" t="s">
        <v>60</v>
      </c>
      <c r="E42">
        <v>53200</v>
      </c>
      <c r="F42">
        <v>2</v>
      </c>
      <c r="G42">
        <v>3</v>
      </c>
    </row>
    <row r="43" spans="1:7" hidden="1">
      <c r="A43" t="s">
        <v>111</v>
      </c>
      <c r="B43">
        <v>52</v>
      </c>
      <c r="C43" t="s">
        <v>59</v>
      </c>
      <c r="D43" t="s">
        <v>80</v>
      </c>
      <c r="E43">
        <v>45600</v>
      </c>
      <c r="F43">
        <v>4</v>
      </c>
      <c r="G43">
        <v>9</v>
      </c>
    </row>
    <row r="44" spans="1:7" hidden="1">
      <c r="A44" t="s">
        <v>112</v>
      </c>
      <c r="B44">
        <v>51</v>
      </c>
      <c r="C44" t="s">
        <v>59</v>
      </c>
      <c r="D44" t="s">
        <v>77</v>
      </c>
      <c r="E44">
        <v>45400</v>
      </c>
      <c r="F44">
        <v>5</v>
      </c>
      <c r="G44">
        <v>1</v>
      </c>
    </row>
    <row r="45" spans="1:7">
      <c r="A45" t="s">
        <v>113</v>
      </c>
      <c r="B45">
        <v>54</v>
      </c>
      <c r="C45" t="s">
        <v>59</v>
      </c>
      <c r="D45" t="s">
        <v>67</v>
      </c>
      <c r="E45">
        <v>30500</v>
      </c>
      <c r="F45">
        <v>11</v>
      </c>
      <c r="G45">
        <v>8</v>
      </c>
    </row>
    <row r="46" spans="1:7" hidden="1">
      <c r="A46" t="s">
        <v>114</v>
      </c>
      <c r="B46">
        <v>49</v>
      </c>
      <c r="C46" t="s">
        <v>59</v>
      </c>
      <c r="D46" t="s">
        <v>77</v>
      </c>
      <c r="E46">
        <v>51500</v>
      </c>
      <c r="F46">
        <v>0</v>
      </c>
      <c r="G46">
        <v>1</v>
      </c>
    </row>
    <row r="47" spans="1:7" hidden="1">
      <c r="A47" t="s">
        <v>115</v>
      </c>
      <c r="B47">
        <v>42</v>
      </c>
      <c r="C47" t="s">
        <v>59</v>
      </c>
      <c r="D47" t="s">
        <v>80</v>
      </c>
      <c r="E47">
        <v>48700</v>
      </c>
      <c r="F47">
        <v>4</v>
      </c>
      <c r="G47">
        <v>1</v>
      </c>
    </row>
    <row r="48" spans="1:7">
      <c r="A48" t="s">
        <v>116</v>
      </c>
      <c r="B48">
        <v>55</v>
      </c>
      <c r="C48" t="s">
        <v>59</v>
      </c>
      <c r="D48" t="s">
        <v>60</v>
      </c>
      <c r="E48">
        <v>34200</v>
      </c>
      <c r="F48">
        <v>4</v>
      </c>
      <c r="G48">
        <v>6</v>
      </c>
    </row>
    <row r="49" spans="1:7" hidden="1">
      <c r="A49" t="s">
        <v>117</v>
      </c>
      <c r="B49">
        <v>47</v>
      </c>
      <c r="C49" t="s">
        <v>59</v>
      </c>
      <c r="D49" t="s">
        <v>60</v>
      </c>
      <c r="E49">
        <v>53400</v>
      </c>
      <c r="F49">
        <v>8</v>
      </c>
      <c r="G49">
        <v>1</v>
      </c>
    </row>
    <row r="50" spans="1:7">
      <c r="A50" t="s">
        <v>118</v>
      </c>
      <c r="B50">
        <v>43</v>
      </c>
      <c r="C50" t="s">
        <v>59</v>
      </c>
      <c r="D50" t="s">
        <v>67</v>
      </c>
      <c r="E50">
        <v>33700</v>
      </c>
      <c r="F50">
        <v>3</v>
      </c>
      <c r="G50">
        <v>8</v>
      </c>
    </row>
    <row r="51" spans="1:7" hidden="1">
      <c r="A51" t="s">
        <v>119</v>
      </c>
      <c r="B51">
        <v>48</v>
      </c>
      <c r="C51" t="s">
        <v>59</v>
      </c>
      <c r="D51" t="s">
        <v>64</v>
      </c>
      <c r="E51">
        <v>19900</v>
      </c>
      <c r="F51">
        <v>7</v>
      </c>
      <c r="G51">
        <v>6</v>
      </c>
    </row>
    <row r="52" spans="1:7">
      <c r="A52" t="s">
        <v>120</v>
      </c>
      <c r="B52">
        <v>35</v>
      </c>
      <c r="C52" t="s">
        <v>59</v>
      </c>
      <c r="D52" t="s">
        <v>80</v>
      </c>
      <c r="E52">
        <v>32700</v>
      </c>
      <c r="F52">
        <v>0</v>
      </c>
      <c r="G52">
        <v>3</v>
      </c>
    </row>
    <row r="53" spans="1:7" hidden="1">
      <c r="A53" t="s">
        <v>121</v>
      </c>
      <c r="B53">
        <v>33</v>
      </c>
      <c r="C53" t="s">
        <v>59</v>
      </c>
      <c r="D53" t="s">
        <v>80</v>
      </c>
      <c r="E53">
        <v>56600</v>
      </c>
      <c r="F53">
        <v>6</v>
      </c>
      <c r="G53">
        <v>9</v>
      </c>
    </row>
    <row r="54" spans="1:7" hidden="1">
      <c r="A54" t="s">
        <v>122</v>
      </c>
      <c r="B54">
        <v>46</v>
      </c>
      <c r="C54" t="s">
        <v>59</v>
      </c>
      <c r="D54" t="s">
        <v>92</v>
      </c>
      <c r="E54">
        <v>23000</v>
      </c>
      <c r="F54">
        <v>2</v>
      </c>
      <c r="G54">
        <v>7</v>
      </c>
    </row>
    <row r="55" spans="1:7" hidden="1">
      <c r="A55" t="s">
        <v>123</v>
      </c>
      <c r="B55">
        <v>46</v>
      </c>
      <c r="C55" t="s">
        <v>59</v>
      </c>
      <c r="D55" t="s">
        <v>108</v>
      </c>
      <c r="E55">
        <v>54500</v>
      </c>
      <c r="F55">
        <v>10</v>
      </c>
      <c r="G55">
        <v>5</v>
      </c>
    </row>
    <row r="56" spans="1:7" hidden="1">
      <c r="A56" t="s">
        <v>124</v>
      </c>
      <c r="B56">
        <v>51</v>
      </c>
      <c r="C56" t="s">
        <v>59</v>
      </c>
      <c r="D56" t="s">
        <v>60</v>
      </c>
      <c r="E56">
        <v>46200</v>
      </c>
      <c r="F56">
        <v>8</v>
      </c>
      <c r="G56">
        <v>7</v>
      </c>
    </row>
    <row r="57" spans="1:7">
      <c r="A57" t="s">
        <v>125</v>
      </c>
      <c r="B57">
        <v>44</v>
      </c>
      <c r="C57" t="s">
        <v>59</v>
      </c>
      <c r="D57" t="s">
        <v>67</v>
      </c>
      <c r="E57">
        <v>30200</v>
      </c>
      <c r="F57">
        <v>19</v>
      </c>
      <c r="G57">
        <v>1</v>
      </c>
    </row>
    <row r="58" spans="1:7" hidden="1">
      <c r="A58" t="s">
        <v>126</v>
      </c>
      <c r="B58">
        <v>55</v>
      </c>
      <c r="C58" t="s">
        <v>59</v>
      </c>
      <c r="D58" t="s">
        <v>60</v>
      </c>
      <c r="E58">
        <v>59600</v>
      </c>
      <c r="F58">
        <v>13</v>
      </c>
      <c r="G58">
        <v>3</v>
      </c>
    </row>
    <row r="59" spans="1:7">
      <c r="A59" t="s">
        <v>127</v>
      </c>
      <c r="B59">
        <v>57</v>
      </c>
      <c r="C59" t="s">
        <v>59</v>
      </c>
      <c r="D59" t="s">
        <v>67</v>
      </c>
      <c r="E59">
        <v>34800</v>
      </c>
      <c r="F59">
        <v>9</v>
      </c>
      <c r="G59">
        <v>2</v>
      </c>
    </row>
    <row r="60" spans="1:7" hidden="1">
      <c r="A60" t="s">
        <v>128</v>
      </c>
      <c r="B60">
        <v>53</v>
      </c>
      <c r="C60" t="s">
        <v>59</v>
      </c>
      <c r="D60" t="s">
        <v>92</v>
      </c>
      <c r="E60">
        <v>28100</v>
      </c>
      <c r="F60">
        <v>5</v>
      </c>
      <c r="G60">
        <v>2</v>
      </c>
    </row>
    <row r="61" spans="1:7" hidden="1">
      <c r="A61" t="s">
        <v>129</v>
      </c>
      <c r="B61">
        <v>57</v>
      </c>
      <c r="C61" t="s">
        <v>59</v>
      </c>
      <c r="D61" t="s">
        <v>64</v>
      </c>
      <c r="E61">
        <v>19300</v>
      </c>
      <c r="F61">
        <v>0</v>
      </c>
      <c r="G61">
        <v>4</v>
      </c>
    </row>
    <row r="62" spans="1:7" hidden="1">
      <c r="A62" t="s">
        <v>130</v>
      </c>
      <c r="B62">
        <v>36</v>
      </c>
      <c r="C62" t="s">
        <v>131</v>
      </c>
      <c r="D62" t="s">
        <v>60</v>
      </c>
      <c r="E62">
        <v>45600</v>
      </c>
      <c r="F62">
        <v>17</v>
      </c>
      <c r="G62">
        <v>7</v>
      </c>
    </row>
    <row r="63" spans="1:7" hidden="1">
      <c r="A63" t="s">
        <v>132</v>
      </c>
      <c r="B63">
        <v>42</v>
      </c>
      <c r="C63" t="s">
        <v>131</v>
      </c>
      <c r="D63" t="s">
        <v>67</v>
      </c>
      <c r="E63">
        <v>29700</v>
      </c>
      <c r="F63">
        <v>4</v>
      </c>
      <c r="G63">
        <v>4</v>
      </c>
    </row>
    <row r="64" spans="1:7" hidden="1">
      <c r="A64" t="s">
        <v>133</v>
      </c>
      <c r="B64">
        <v>32</v>
      </c>
      <c r="C64" t="s">
        <v>131</v>
      </c>
      <c r="D64" t="s">
        <v>64</v>
      </c>
      <c r="E64">
        <v>41200</v>
      </c>
      <c r="F64">
        <v>0</v>
      </c>
      <c r="G64">
        <v>6</v>
      </c>
    </row>
    <row r="65" spans="1:7">
      <c r="A65" t="s">
        <v>134</v>
      </c>
      <c r="B65">
        <v>50</v>
      </c>
      <c r="C65" t="s">
        <v>131</v>
      </c>
      <c r="D65" t="s">
        <v>64</v>
      </c>
      <c r="E65">
        <v>39800</v>
      </c>
      <c r="F65">
        <v>0</v>
      </c>
      <c r="G65">
        <v>5</v>
      </c>
    </row>
    <row r="66" spans="1:7" hidden="1">
      <c r="A66" t="s">
        <v>136</v>
      </c>
      <c r="B66">
        <v>61</v>
      </c>
      <c r="C66" t="s">
        <v>131</v>
      </c>
      <c r="D66" t="s">
        <v>60</v>
      </c>
      <c r="E66">
        <v>59600</v>
      </c>
      <c r="F66">
        <v>8</v>
      </c>
      <c r="G66">
        <v>4</v>
      </c>
    </row>
    <row r="67" spans="1:7">
      <c r="A67" t="s">
        <v>137</v>
      </c>
      <c r="B67">
        <v>52</v>
      </c>
      <c r="C67" t="s">
        <v>131</v>
      </c>
      <c r="D67" t="s">
        <v>64</v>
      </c>
      <c r="E67">
        <v>34900</v>
      </c>
      <c r="F67">
        <v>9</v>
      </c>
      <c r="G67">
        <v>5</v>
      </c>
    </row>
    <row r="68" spans="1:7" hidden="1">
      <c r="A68" t="s">
        <v>138</v>
      </c>
      <c r="B68">
        <v>42</v>
      </c>
      <c r="C68" t="s">
        <v>131</v>
      </c>
      <c r="D68" t="s">
        <v>92</v>
      </c>
      <c r="E68">
        <v>18800</v>
      </c>
      <c r="F68">
        <v>3</v>
      </c>
      <c r="G68">
        <v>7</v>
      </c>
    </row>
    <row r="69" spans="1:7" hidden="1">
      <c r="A69" t="s">
        <v>139</v>
      </c>
      <c r="B69">
        <v>42</v>
      </c>
      <c r="C69" t="s">
        <v>131</v>
      </c>
      <c r="D69" t="s">
        <v>60</v>
      </c>
      <c r="E69">
        <v>29500</v>
      </c>
      <c r="F69">
        <v>6</v>
      </c>
      <c r="G69">
        <v>4</v>
      </c>
    </row>
    <row r="70" spans="1:7" hidden="1">
      <c r="A70" t="s">
        <v>141</v>
      </c>
      <c r="B70">
        <v>54</v>
      </c>
      <c r="C70" t="s">
        <v>131</v>
      </c>
      <c r="D70" t="s">
        <v>108</v>
      </c>
      <c r="E70">
        <v>64900</v>
      </c>
      <c r="F70">
        <v>0</v>
      </c>
      <c r="G70">
        <v>4</v>
      </c>
    </row>
    <row r="71" spans="1:7">
      <c r="A71" t="s">
        <v>142</v>
      </c>
      <c r="B71">
        <v>40</v>
      </c>
      <c r="C71" t="s">
        <v>131</v>
      </c>
      <c r="D71" t="s">
        <v>60</v>
      </c>
      <c r="E71">
        <v>38900</v>
      </c>
      <c r="F71">
        <v>8</v>
      </c>
      <c r="G71">
        <v>3</v>
      </c>
    </row>
    <row r="72" spans="1:7" hidden="1">
      <c r="A72" t="s">
        <v>143</v>
      </c>
      <c r="B72">
        <v>55</v>
      </c>
      <c r="C72" t="s">
        <v>131</v>
      </c>
      <c r="D72" t="s">
        <v>80</v>
      </c>
      <c r="E72">
        <v>50100</v>
      </c>
      <c r="F72">
        <v>2</v>
      </c>
      <c r="G72">
        <v>5</v>
      </c>
    </row>
    <row r="73" spans="1:7" hidden="1">
      <c r="A73" t="s">
        <v>144</v>
      </c>
      <c r="B73">
        <v>52</v>
      </c>
      <c r="C73" t="s">
        <v>131</v>
      </c>
      <c r="D73" t="s">
        <v>77</v>
      </c>
      <c r="E73">
        <v>60000</v>
      </c>
      <c r="F73">
        <v>6</v>
      </c>
      <c r="G73">
        <v>1</v>
      </c>
    </row>
    <row r="74" spans="1:7" hidden="1">
      <c r="A74" t="s">
        <v>145</v>
      </c>
      <c r="B74">
        <v>32</v>
      </c>
      <c r="C74" t="s">
        <v>131</v>
      </c>
      <c r="D74" t="s">
        <v>60</v>
      </c>
      <c r="E74">
        <v>49600</v>
      </c>
      <c r="F74">
        <v>5</v>
      </c>
      <c r="G74">
        <v>3</v>
      </c>
    </row>
    <row r="75" spans="1:7" hidden="1">
      <c r="A75" t="s">
        <v>146</v>
      </c>
      <c r="B75">
        <v>32</v>
      </c>
      <c r="C75" t="s">
        <v>131</v>
      </c>
      <c r="D75" t="s">
        <v>60</v>
      </c>
      <c r="E75">
        <v>44100</v>
      </c>
      <c r="F75">
        <v>4</v>
      </c>
      <c r="G75">
        <v>4</v>
      </c>
    </row>
    <row r="76" spans="1:7" hidden="1">
      <c r="A76" t="s">
        <v>147</v>
      </c>
      <c r="B76">
        <v>30</v>
      </c>
      <c r="C76" t="s">
        <v>131</v>
      </c>
      <c r="D76" t="s">
        <v>80</v>
      </c>
      <c r="E76">
        <v>42600</v>
      </c>
      <c r="F76">
        <v>15</v>
      </c>
      <c r="G76">
        <v>10</v>
      </c>
    </row>
    <row r="77" spans="1:7">
      <c r="A77" t="s">
        <v>148</v>
      </c>
      <c r="B77">
        <v>28</v>
      </c>
      <c r="C77" t="s">
        <v>131</v>
      </c>
      <c r="D77" t="s">
        <v>77</v>
      </c>
      <c r="E77">
        <v>30700</v>
      </c>
      <c r="F77">
        <v>3</v>
      </c>
      <c r="G77">
        <v>2</v>
      </c>
    </row>
    <row r="78" spans="1:7" hidden="1">
      <c r="A78" t="s">
        <v>149</v>
      </c>
      <c r="B78">
        <v>42</v>
      </c>
      <c r="C78" t="s">
        <v>131</v>
      </c>
      <c r="D78" t="s">
        <v>64</v>
      </c>
      <c r="E78">
        <v>44800</v>
      </c>
      <c r="F78">
        <v>3</v>
      </c>
      <c r="G78">
        <v>10</v>
      </c>
    </row>
    <row r="79" spans="1:7">
      <c r="A79" t="s">
        <v>150</v>
      </c>
      <c r="B79">
        <v>15</v>
      </c>
      <c r="C79" t="s">
        <v>131</v>
      </c>
      <c r="D79" t="s">
        <v>77</v>
      </c>
      <c r="E79">
        <v>31600</v>
      </c>
      <c r="F79">
        <v>2</v>
      </c>
      <c r="G79">
        <v>6</v>
      </c>
    </row>
    <row r="80" spans="1:7" hidden="1">
      <c r="A80" t="s">
        <v>151</v>
      </c>
      <c r="B80">
        <v>52</v>
      </c>
      <c r="C80" t="s">
        <v>131</v>
      </c>
      <c r="D80" t="s">
        <v>64</v>
      </c>
      <c r="E80">
        <v>28500</v>
      </c>
      <c r="F80">
        <v>16</v>
      </c>
      <c r="G80">
        <v>6</v>
      </c>
    </row>
    <row r="81" spans="1:7">
      <c r="A81" t="s">
        <v>153</v>
      </c>
      <c r="B81">
        <v>29</v>
      </c>
      <c r="C81" t="s">
        <v>131</v>
      </c>
      <c r="D81" t="s">
        <v>64</v>
      </c>
      <c r="E81">
        <v>39500</v>
      </c>
      <c r="F81">
        <v>19</v>
      </c>
      <c r="G81">
        <v>9</v>
      </c>
    </row>
    <row r="82" spans="1:7" hidden="1">
      <c r="A82" t="s">
        <v>154</v>
      </c>
      <c r="B82">
        <v>42</v>
      </c>
      <c r="C82" t="s">
        <v>131</v>
      </c>
      <c r="D82" t="s">
        <v>108</v>
      </c>
      <c r="E82">
        <v>63300</v>
      </c>
      <c r="F82">
        <v>5</v>
      </c>
      <c r="G82">
        <v>10</v>
      </c>
    </row>
    <row r="83" spans="1:7" hidden="1">
      <c r="A83" t="s">
        <v>155</v>
      </c>
      <c r="B83">
        <v>54</v>
      </c>
      <c r="C83" t="s">
        <v>131</v>
      </c>
      <c r="D83" t="s">
        <v>80</v>
      </c>
      <c r="E83">
        <v>47900</v>
      </c>
      <c r="F83">
        <v>8</v>
      </c>
      <c r="G83">
        <v>1</v>
      </c>
    </row>
    <row r="84" spans="1:7">
      <c r="A84" t="s">
        <v>137</v>
      </c>
      <c r="B84">
        <v>52</v>
      </c>
      <c r="C84" t="s">
        <v>131</v>
      </c>
      <c r="D84" t="s">
        <v>64</v>
      </c>
      <c r="E84">
        <v>34900</v>
      </c>
      <c r="F84">
        <v>9</v>
      </c>
      <c r="G84">
        <v>5</v>
      </c>
    </row>
    <row r="85" spans="1:7" hidden="1">
      <c r="A85" t="s">
        <v>156</v>
      </c>
      <c r="B85">
        <v>48</v>
      </c>
      <c r="C85" t="s">
        <v>131</v>
      </c>
      <c r="D85" t="s">
        <v>60</v>
      </c>
      <c r="E85">
        <v>57400</v>
      </c>
      <c r="F85">
        <v>1</v>
      </c>
      <c r="G85">
        <v>4</v>
      </c>
    </row>
    <row r="86" spans="1:7" hidden="1">
      <c r="A86" t="s">
        <v>157</v>
      </c>
      <c r="B86">
        <v>61</v>
      </c>
      <c r="C86" t="s">
        <v>131</v>
      </c>
      <c r="D86" t="s">
        <v>64</v>
      </c>
      <c r="E86">
        <v>19200</v>
      </c>
      <c r="F86">
        <v>6</v>
      </c>
      <c r="G86">
        <v>3</v>
      </c>
    </row>
    <row r="87" spans="1:7" hidden="1">
      <c r="A87" t="s">
        <v>158</v>
      </c>
      <c r="B87">
        <v>32</v>
      </c>
      <c r="C87" t="s">
        <v>131</v>
      </c>
      <c r="D87" t="s">
        <v>60</v>
      </c>
      <c r="E87">
        <v>49200</v>
      </c>
      <c r="F87">
        <v>6</v>
      </c>
      <c r="G87">
        <v>4</v>
      </c>
    </row>
    <row r="88" spans="1:7" hidden="1">
      <c r="A88" t="s">
        <v>159</v>
      </c>
      <c r="B88">
        <v>45</v>
      </c>
      <c r="C88" t="s">
        <v>131</v>
      </c>
      <c r="D88" t="s">
        <v>67</v>
      </c>
      <c r="E88">
        <v>27400</v>
      </c>
      <c r="F88">
        <v>11</v>
      </c>
      <c r="G88">
        <v>9</v>
      </c>
    </row>
    <row r="89" spans="1:7">
      <c r="A89" t="s">
        <v>160</v>
      </c>
      <c r="B89">
        <v>51</v>
      </c>
      <c r="C89" t="s">
        <v>131</v>
      </c>
      <c r="D89" t="s">
        <v>67</v>
      </c>
      <c r="E89">
        <v>33400</v>
      </c>
      <c r="F89">
        <v>6</v>
      </c>
      <c r="G89">
        <v>10</v>
      </c>
    </row>
    <row r="90" spans="1:7" hidden="1">
      <c r="A90" t="s">
        <v>161</v>
      </c>
      <c r="B90">
        <v>54</v>
      </c>
      <c r="C90" t="s">
        <v>131</v>
      </c>
      <c r="D90" t="s">
        <v>60</v>
      </c>
      <c r="E90">
        <v>40700</v>
      </c>
      <c r="F90">
        <v>10</v>
      </c>
      <c r="G90">
        <v>1</v>
      </c>
    </row>
    <row r="91" spans="1:7" hidden="1">
      <c r="A91" t="s">
        <v>162</v>
      </c>
      <c r="B91">
        <v>32</v>
      </c>
      <c r="C91" t="s">
        <v>131</v>
      </c>
      <c r="D91" t="s">
        <v>60</v>
      </c>
      <c r="E91">
        <v>42100</v>
      </c>
      <c r="F91">
        <v>2</v>
      </c>
      <c r="G91">
        <v>7</v>
      </c>
    </row>
    <row r="92" spans="1:7" hidden="1">
      <c r="A92" t="s">
        <v>163</v>
      </c>
      <c r="B92">
        <v>27</v>
      </c>
      <c r="C92" t="s">
        <v>131</v>
      </c>
      <c r="D92" t="s">
        <v>64</v>
      </c>
      <c r="E92">
        <v>40500</v>
      </c>
      <c r="F92">
        <v>3</v>
      </c>
      <c r="G92">
        <v>10</v>
      </c>
    </row>
    <row r="93" spans="1:7">
      <c r="A93" t="s">
        <v>164</v>
      </c>
      <c r="B93">
        <v>34</v>
      </c>
      <c r="C93" t="s">
        <v>131</v>
      </c>
      <c r="D93" t="s">
        <v>64</v>
      </c>
      <c r="E93">
        <v>35100</v>
      </c>
      <c r="F93">
        <v>6</v>
      </c>
      <c r="G93">
        <v>4</v>
      </c>
    </row>
    <row r="94" spans="1:7" hidden="1">
      <c r="A94" t="s">
        <v>165</v>
      </c>
      <c r="B94">
        <v>46</v>
      </c>
      <c r="C94" t="s">
        <v>131</v>
      </c>
      <c r="D94" t="s">
        <v>92</v>
      </c>
      <c r="E94">
        <v>22100</v>
      </c>
      <c r="F94">
        <v>2</v>
      </c>
      <c r="G94">
        <v>5</v>
      </c>
    </row>
    <row r="95" spans="1:7" hidden="1">
      <c r="A95" t="s">
        <v>166</v>
      </c>
      <c r="B95">
        <v>40</v>
      </c>
      <c r="C95" t="s">
        <v>131</v>
      </c>
      <c r="D95" t="s">
        <v>67</v>
      </c>
      <c r="E95">
        <v>23000</v>
      </c>
      <c r="F95">
        <v>4</v>
      </c>
      <c r="G95">
        <v>5</v>
      </c>
    </row>
    <row r="96" spans="1:7" hidden="1">
      <c r="A96" t="s">
        <v>167</v>
      </c>
      <c r="B96">
        <v>43</v>
      </c>
      <c r="C96" t="s">
        <v>131</v>
      </c>
      <c r="D96" t="s">
        <v>60</v>
      </c>
      <c r="E96">
        <v>54000</v>
      </c>
      <c r="F96">
        <v>3</v>
      </c>
      <c r="G96">
        <v>7</v>
      </c>
    </row>
    <row r="97" spans="1:7" hidden="1">
      <c r="A97" t="s">
        <v>168</v>
      </c>
      <c r="B97">
        <v>46</v>
      </c>
      <c r="C97" t="s">
        <v>131</v>
      </c>
      <c r="D97" t="s">
        <v>60</v>
      </c>
      <c r="E97">
        <v>48500</v>
      </c>
      <c r="F97">
        <v>1</v>
      </c>
      <c r="G97">
        <v>4</v>
      </c>
    </row>
    <row r="98" spans="1:7" hidden="1">
      <c r="A98" t="s">
        <v>169</v>
      </c>
      <c r="B98">
        <v>38</v>
      </c>
      <c r="C98" t="s">
        <v>170</v>
      </c>
      <c r="D98" t="s">
        <v>80</v>
      </c>
      <c r="E98">
        <v>55100</v>
      </c>
      <c r="F98">
        <v>3</v>
      </c>
      <c r="G98">
        <v>9</v>
      </c>
    </row>
    <row r="99" spans="1:7" hidden="1">
      <c r="A99" t="s">
        <v>171</v>
      </c>
      <c r="B99">
        <v>45</v>
      </c>
      <c r="C99" t="s">
        <v>170</v>
      </c>
      <c r="D99" t="s">
        <v>92</v>
      </c>
      <c r="E99">
        <v>23700</v>
      </c>
      <c r="F99">
        <v>8</v>
      </c>
      <c r="G99">
        <v>9</v>
      </c>
    </row>
    <row r="100" spans="1:7" hidden="1">
      <c r="A100" t="s">
        <v>172</v>
      </c>
      <c r="B100">
        <v>51</v>
      </c>
      <c r="C100" t="s">
        <v>170</v>
      </c>
      <c r="D100" t="s">
        <v>60</v>
      </c>
      <c r="E100">
        <v>85340</v>
      </c>
      <c r="F100">
        <v>11</v>
      </c>
      <c r="G100">
        <v>4</v>
      </c>
    </row>
    <row r="101" spans="1:7">
      <c r="A101" t="s">
        <v>173</v>
      </c>
      <c r="B101">
        <v>42</v>
      </c>
      <c r="C101" t="s">
        <v>170</v>
      </c>
      <c r="D101" t="s">
        <v>60</v>
      </c>
      <c r="E101">
        <v>34600</v>
      </c>
      <c r="F101">
        <v>3</v>
      </c>
      <c r="G101">
        <v>5</v>
      </c>
    </row>
    <row r="102" spans="1:7" hidden="1">
      <c r="A102" t="s">
        <v>174</v>
      </c>
      <c r="B102">
        <v>35</v>
      </c>
      <c r="C102" t="s">
        <v>170</v>
      </c>
      <c r="D102" t="s">
        <v>77</v>
      </c>
      <c r="E102">
        <v>51300</v>
      </c>
      <c r="F102">
        <v>1</v>
      </c>
      <c r="G102">
        <v>7</v>
      </c>
    </row>
    <row r="104" spans="1:7" ht="15" thickBot="1"/>
    <row r="105" spans="1:7" ht="15" thickBot="1">
      <c r="B105" s="29" t="s">
        <v>57</v>
      </c>
      <c r="C105" s="30"/>
    </row>
    <row r="106" spans="1:7" ht="15">
      <c r="B106" s="31" t="s">
        <v>61</v>
      </c>
      <c r="C106" s="32"/>
      <c r="D106" s="32"/>
      <c r="E106" s="32"/>
      <c r="F106" s="32"/>
      <c r="G106" s="33"/>
    </row>
    <row r="107" spans="1:7">
      <c r="B107" s="34"/>
      <c r="C107" s="35"/>
      <c r="D107" s="35"/>
      <c r="E107" s="35"/>
      <c r="F107" s="35"/>
      <c r="G107" s="36"/>
    </row>
    <row r="108" spans="1:7">
      <c r="B108" s="34"/>
      <c r="C108" s="35"/>
      <c r="D108" s="35"/>
      <c r="E108" s="35"/>
      <c r="F108" s="35"/>
      <c r="G108" s="36"/>
    </row>
    <row r="109" spans="1:7">
      <c r="B109" s="34"/>
      <c r="C109" s="35"/>
      <c r="D109" s="35"/>
      <c r="E109" s="35"/>
      <c r="F109" s="35"/>
      <c r="G109" s="36"/>
    </row>
    <row r="110" spans="1:7">
      <c r="B110" s="34"/>
      <c r="C110" s="35"/>
      <c r="D110" s="35"/>
      <c r="E110" s="35"/>
      <c r="F110" s="35"/>
      <c r="G110" s="36"/>
    </row>
    <row r="111" spans="1:7">
      <c r="B111" s="34"/>
      <c r="C111" s="35"/>
      <c r="D111" s="35"/>
      <c r="E111" s="35"/>
      <c r="F111" s="35"/>
      <c r="G111" s="36"/>
    </row>
    <row r="112" spans="1:7">
      <c r="B112" s="34"/>
      <c r="C112" s="35"/>
      <c r="D112" s="35"/>
      <c r="E112" s="35"/>
      <c r="F112" s="35"/>
      <c r="G112" s="36"/>
    </row>
    <row r="113" spans="2:7">
      <c r="B113" s="34"/>
      <c r="C113" s="35"/>
      <c r="D113" s="35"/>
      <c r="E113" s="35"/>
      <c r="F113" s="35"/>
      <c r="G113" s="36"/>
    </row>
    <row r="114" spans="2:7">
      <c r="B114" s="34"/>
      <c r="C114" s="35"/>
      <c r="D114" s="35"/>
      <c r="E114" s="35"/>
      <c r="F114" s="35"/>
      <c r="G114" s="36"/>
    </row>
    <row r="115" spans="2:7" ht="15" thickBot="1">
      <c r="B115" s="37"/>
      <c r="C115" s="38"/>
      <c r="D115" s="38"/>
      <c r="E115" s="38"/>
      <c r="F115" s="38"/>
      <c r="G115" s="39"/>
    </row>
  </sheetData>
  <autoFilter ref="A1:G102" xr:uid="{CABBEA84-E23B-48D7-A9F4-56E778659F2C}">
    <filterColumn colId="4">
      <customFilters and="1">
        <customFilter operator="greaterThanOrEqual" val="30000"/>
        <customFilter operator="lessThanOrEqual" val="40000"/>
      </customFilters>
    </filterColumn>
  </autoFilter>
  <mergeCells count="2">
    <mergeCell ref="B105:C105"/>
    <mergeCell ref="B106:G1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D866-EFA7-481E-A390-93D0B1C72470}">
  <dimension ref="A1:J102"/>
  <sheetViews>
    <sheetView workbookViewId="0">
      <selection activeCell="G2" sqref="G2:J7"/>
    </sheetView>
  </sheetViews>
  <sheetFormatPr defaultColWidth="8.85546875" defaultRowHeight="15" customHeight="1"/>
  <cols>
    <col min="1" max="1" width="20.5703125" bestFit="1" customWidth="1"/>
    <col min="2" max="2" width="7.42578125" bestFit="1" customWidth="1"/>
    <col min="3" max="3" width="32.42578125" bestFit="1" customWidth="1"/>
    <col min="4" max="4" width="9.28515625" bestFit="1" customWidth="1"/>
  </cols>
  <sheetData>
    <row r="1" spans="1:10">
      <c r="A1" t="s">
        <v>176</v>
      </c>
      <c r="B1" t="s">
        <v>55</v>
      </c>
      <c r="C1" t="s">
        <v>56</v>
      </c>
      <c r="D1" t="s">
        <v>45</v>
      </c>
      <c r="G1" s="44" t="s">
        <v>57</v>
      </c>
      <c r="H1" s="45"/>
    </row>
    <row r="2" spans="1:10">
      <c r="A2" t="s">
        <v>177</v>
      </c>
      <c r="B2" t="s">
        <v>59</v>
      </c>
      <c r="C2" t="s">
        <v>60</v>
      </c>
      <c r="D2">
        <v>32600</v>
      </c>
      <c r="G2" s="31" t="s">
        <v>61</v>
      </c>
      <c r="H2" s="32"/>
      <c r="I2" s="32"/>
      <c r="J2" s="33"/>
    </row>
    <row r="3" spans="1:10">
      <c r="A3" t="s">
        <v>178</v>
      </c>
      <c r="B3" t="s">
        <v>59</v>
      </c>
      <c r="C3" t="s">
        <v>60</v>
      </c>
      <c r="D3">
        <v>51000</v>
      </c>
      <c r="G3" s="34"/>
      <c r="H3" s="35"/>
      <c r="I3" s="35"/>
      <c r="J3" s="36"/>
    </row>
    <row r="4" spans="1:10">
      <c r="A4" t="s">
        <v>179</v>
      </c>
      <c r="B4" t="s">
        <v>59</v>
      </c>
      <c r="C4" t="s">
        <v>64</v>
      </c>
      <c r="D4">
        <v>27800</v>
      </c>
      <c r="G4" s="34"/>
      <c r="H4" s="35"/>
      <c r="I4" s="35"/>
      <c r="J4" s="36"/>
    </row>
    <row r="5" spans="1:10">
      <c r="A5" t="s">
        <v>180</v>
      </c>
      <c r="B5" t="s">
        <v>59</v>
      </c>
      <c r="C5" t="s">
        <v>64</v>
      </c>
      <c r="D5">
        <v>28700</v>
      </c>
      <c r="G5" s="34"/>
      <c r="H5" s="35"/>
      <c r="I5" s="35"/>
      <c r="J5" s="36"/>
    </row>
    <row r="6" spans="1:10">
      <c r="A6" t="s">
        <v>181</v>
      </c>
      <c r="B6" t="s">
        <v>59</v>
      </c>
      <c r="C6" t="s">
        <v>67</v>
      </c>
      <c r="D6">
        <v>15500</v>
      </c>
      <c r="G6" s="34"/>
      <c r="H6" s="35"/>
      <c r="I6" s="35"/>
      <c r="J6" s="36"/>
    </row>
    <row r="7" spans="1:10">
      <c r="A7" t="s">
        <v>182</v>
      </c>
      <c r="B7" t="s">
        <v>59</v>
      </c>
      <c r="C7" t="s">
        <v>60</v>
      </c>
      <c r="D7">
        <v>25200</v>
      </c>
      <c r="G7" s="37"/>
      <c r="H7" s="38"/>
      <c r="I7" s="38"/>
      <c r="J7" s="39"/>
    </row>
    <row r="8" spans="1:10">
      <c r="A8" t="s">
        <v>183</v>
      </c>
      <c r="B8" t="s">
        <v>59</v>
      </c>
      <c r="C8" t="s">
        <v>64</v>
      </c>
      <c r="D8">
        <v>39100</v>
      </c>
    </row>
    <row r="9" spans="1:10">
      <c r="A9" t="s">
        <v>184</v>
      </c>
      <c r="B9" t="s">
        <v>59</v>
      </c>
      <c r="C9" t="s">
        <v>64</v>
      </c>
      <c r="D9">
        <v>35600</v>
      </c>
    </row>
    <row r="10" spans="1:10">
      <c r="A10" t="s">
        <v>185</v>
      </c>
      <c r="B10" t="s">
        <v>59</v>
      </c>
      <c r="C10" t="s">
        <v>60</v>
      </c>
      <c r="D10">
        <v>51400</v>
      </c>
    </row>
    <row r="11" spans="1:10">
      <c r="A11" t="s">
        <v>186</v>
      </c>
      <c r="B11" t="s">
        <v>59</v>
      </c>
      <c r="C11" t="s">
        <v>60</v>
      </c>
      <c r="D11">
        <v>43300</v>
      </c>
    </row>
    <row r="12" spans="1:10">
      <c r="A12" t="s">
        <v>187</v>
      </c>
      <c r="B12" t="s">
        <v>59</v>
      </c>
      <c r="C12" t="s">
        <v>60</v>
      </c>
      <c r="D12">
        <v>46100</v>
      </c>
    </row>
    <row r="13" spans="1:10">
      <c r="A13" t="s">
        <v>188</v>
      </c>
      <c r="B13" t="s">
        <v>59</v>
      </c>
      <c r="C13" t="s">
        <v>77</v>
      </c>
      <c r="D13">
        <v>41100</v>
      </c>
    </row>
    <row r="14" spans="1:10">
      <c r="A14" t="s">
        <v>189</v>
      </c>
      <c r="B14" t="s">
        <v>59</v>
      </c>
      <c r="C14" t="s">
        <v>60</v>
      </c>
      <c r="D14">
        <v>37500</v>
      </c>
    </row>
    <row r="15" spans="1:10">
      <c r="A15" t="s">
        <v>190</v>
      </c>
      <c r="B15" t="s">
        <v>59</v>
      </c>
      <c r="C15" t="s">
        <v>80</v>
      </c>
      <c r="D15">
        <v>41000</v>
      </c>
    </row>
    <row r="16" spans="1:10">
      <c r="A16" t="s">
        <v>191</v>
      </c>
      <c r="B16" t="s">
        <v>59</v>
      </c>
      <c r="C16" t="s">
        <v>60</v>
      </c>
      <c r="D16">
        <v>48000</v>
      </c>
    </row>
    <row r="17" spans="1:4">
      <c r="A17" t="s">
        <v>192</v>
      </c>
      <c r="B17" t="s">
        <v>59</v>
      </c>
      <c r="C17" t="s">
        <v>60</v>
      </c>
      <c r="D17">
        <v>64100</v>
      </c>
    </row>
    <row r="18" spans="1:4">
      <c r="A18" t="s">
        <v>193</v>
      </c>
      <c r="B18" t="s">
        <v>59</v>
      </c>
      <c r="C18" t="s">
        <v>80</v>
      </c>
      <c r="D18">
        <v>56400</v>
      </c>
    </row>
    <row r="19" spans="1:4">
      <c r="A19" t="s">
        <v>194</v>
      </c>
      <c r="B19" t="s">
        <v>59</v>
      </c>
      <c r="C19" t="s">
        <v>60</v>
      </c>
      <c r="D19">
        <v>37000</v>
      </c>
    </row>
    <row r="20" spans="1:4">
      <c r="A20" t="s">
        <v>195</v>
      </c>
      <c r="B20" t="s">
        <v>59</v>
      </c>
      <c r="C20" t="s">
        <v>60</v>
      </c>
      <c r="D20">
        <v>44300</v>
      </c>
    </row>
    <row r="21" spans="1:4">
      <c r="A21" t="s">
        <v>196</v>
      </c>
      <c r="B21" t="s">
        <v>59</v>
      </c>
      <c r="C21" t="s">
        <v>60</v>
      </c>
      <c r="D21">
        <v>28000</v>
      </c>
    </row>
    <row r="22" spans="1:4">
      <c r="A22" t="s">
        <v>197</v>
      </c>
      <c r="B22" t="s">
        <v>59</v>
      </c>
      <c r="C22" t="s">
        <v>60</v>
      </c>
      <c r="D22">
        <v>38200</v>
      </c>
    </row>
    <row r="23" spans="1:4">
      <c r="A23" t="s">
        <v>198</v>
      </c>
      <c r="B23" t="s">
        <v>59</v>
      </c>
      <c r="C23" t="s">
        <v>60</v>
      </c>
      <c r="D23">
        <v>47200</v>
      </c>
    </row>
    <row r="24" spans="1:4">
      <c r="A24" t="s">
        <v>199</v>
      </c>
      <c r="B24" t="s">
        <v>59</v>
      </c>
      <c r="C24" t="s">
        <v>64</v>
      </c>
      <c r="D24">
        <v>31500</v>
      </c>
    </row>
    <row r="25" spans="1:4">
      <c r="A25" t="s">
        <v>200</v>
      </c>
      <c r="B25" t="s">
        <v>59</v>
      </c>
      <c r="C25" t="s">
        <v>92</v>
      </c>
      <c r="D25">
        <v>24200</v>
      </c>
    </row>
    <row r="26" spans="1:4">
      <c r="A26" t="s">
        <v>201</v>
      </c>
      <c r="B26" t="s">
        <v>59</v>
      </c>
      <c r="C26" t="s">
        <v>60</v>
      </c>
      <c r="D26">
        <v>55100</v>
      </c>
    </row>
    <row r="27" spans="1:4">
      <c r="A27" t="s">
        <v>202</v>
      </c>
      <c r="B27" t="s">
        <v>59</v>
      </c>
      <c r="C27" t="s">
        <v>77</v>
      </c>
      <c r="D27">
        <v>37600</v>
      </c>
    </row>
    <row r="28" spans="1:4">
      <c r="A28" t="s">
        <v>203</v>
      </c>
      <c r="B28" t="s">
        <v>59</v>
      </c>
      <c r="C28" t="s">
        <v>92</v>
      </c>
      <c r="D28">
        <v>27100</v>
      </c>
    </row>
    <row r="29" spans="1:4">
      <c r="A29" t="s">
        <v>204</v>
      </c>
      <c r="B29" t="s">
        <v>59</v>
      </c>
      <c r="C29" t="s">
        <v>64</v>
      </c>
      <c r="D29">
        <v>45400</v>
      </c>
    </row>
    <row r="30" spans="1:4">
      <c r="A30" t="s">
        <v>205</v>
      </c>
      <c r="B30" t="s">
        <v>59</v>
      </c>
      <c r="C30" t="s">
        <v>60</v>
      </c>
      <c r="D30">
        <v>50800</v>
      </c>
    </row>
    <row r="31" spans="1:4">
      <c r="A31" t="s">
        <v>206</v>
      </c>
      <c r="B31" t="s">
        <v>59</v>
      </c>
      <c r="C31" t="s">
        <v>64</v>
      </c>
      <c r="D31">
        <v>31000</v>
      </c>
    </row>
    <row r="32" spans="1:4">
      <c r="A32" t="s">
        <v>207</v>
      </c>
      <c r="B32" t="s">
        <v>59</v>
      </c>
      <c r="C32" t="s">
        <v>92</v>
      </c>
      <c r="D32">
        <v>23000</v>
      </c>
    </row>
    <row r="33" spans="1:4">
      <c r="A33" t="s">
        <v>208</v>
      </c>
      <c r="B33" t="s">
        <v>59</v>
      </c>
      <c r="C33" t="s">
        <v>60</v>
      </c>
      <c r="D33">
        <v>53200</v>
      </c>
    </row>
    <row r="34" spans="1:4">
      <c r="A34" t="s">
        <v>209</v>
      </c>
      <c r="B34" t="s">
        <v>59</v>
      </c>
      <c r="C34" t="s">
        <v>64</v>
      </c>
      <c r="D34">
        <v>39100</v>
      </c>
    </row>
    <row r="35" spans="1:4">
      <c r="A35" t="s">
        <v>210</v>
      </c>
      <c r="B35" t="s">
        <v>59</v>
      </c>
      <c r="C35" t="s">
        <v>60</v>
      </c>
      <c r="D35">
        <v>41500</v>
      </c>
    </row>
    <row r="36" spans="1:4">
      <c r="A36" t="s">
        <v>211</v>
      </c>
      <c r="B36" t="s">
        <v>59</v>
      </c>
      <c r="C36" t="s">
        <v>60</v>
      </c>
      <c r="D36">
        <v>49900</v>
      </c>
    </row>
    <row r="37" spans="1:4">
      <c r="A37" t="s">
        <v>212</v>
      </c>
      <c r="B37" t="s">
        <v>59</v>
      </c>
      <c r="C37" t="s">
        <v>64</v>
      </c>
      <c r="D37">
        <v>35500</v>
      </c>
    </row>
    <row r="38" spans="1:4">
      <c r="A38" t="s">
        <v>213</v>
      </c>
      <c r="B38" t="s">
        <v>59</v>
      </c>
      <c r="C38" t="s">
        <v>64</v>
      </c>
      <c r="D38">
        <v>46100</v>
      </c>
    </row>
    <row r="39" spans="1:4">
      <c r="A39" t="s">
        <v>214</v>
      </c>
      <c r="B39" t="s">
        <v>59</v>
      </c>
      <c r="C39" t="s">
        <v>60</v>
      </c>
      <c r="D39">
        <v>37300</v>
      </c>
    </row>
    <row r="40" spans="1:4">
      <c r="A40" t="s">
        <v>215</v>
      </c>
      <c r="B40" t="s">
        <v>59</v>
      </c>
      <c r="C40" t="s">
        <v>108</v>
      </c>
      <c r="D40">
        <v>62600</v>
      </c>
    </row>
    <row r="41" spans="1:4">
      <c r="A41" t="s">
        <v>216</v>
      </c>
      <c r="B41" t="s">
        <v>59</v>
      </c>
      <c r="C41" t="s">
        <v>64</v>
      </c>
      <c r="D41">
        <v>29400</v>
      </c>
    </row>
    <row r="42" spans="1:4">
      <c r="A42" t="s">
        <v>217</v>
      </c>
      <c r="B42" t="s">
        <v>59</v>
      </c>
      <c r="C42" t="s">
        <v>60</v>
      </c>
      <c r="D42">
        <v>53200</v>
      </c>
    </row>
    <row r="43" spans="1:4">
      <c r="A43" t="s">
        <v>218</v>
      </c>
      <c r="B43" t="s">
        <v>59</v>
      </c>
      <c r="C43" t="s">
        <v>80</v>
      </c>
      <c r="D43">
        <v>45600</v>
      </c>
    </row>
    <row r="44" spans="1:4">
      <c r="A44" t="s">
        <v>219</v>
      </c>
      <c r="B44" t="s">
        <v>59</v>
      </c>
      <c r="C44" t="s">
        <v>77</v>
      </c>
      <c r="D44">
        <v>45400</v>
      </c>
    </row>
    <row r="45" spans="1:4">
      <c r="A45" t="s">
        <v>220</v>
      </c>
      <c r="B45" t="s">
        <v>59</v>
      </c>
      <c r="C45" t="s">
        <v>67</v>
      </c>
      <c r="D45">
        <v>30500</v>
      </c>
    </row>
    <row r="46" spans="1:4">
      <c r="A46" t="s">
        <v>221</v>
      </c>
      <c r="B46" t="s">
        <v>59</v>
      </c>
      <c r="C46" t="s">
        <v>77</v>
      </c>
      <c r="D46">
        <v>51500</v>
      </c>
    </row>
    <row r="47" spans="1:4">
      <c r="A47" t="s">
        <v>222</v>
      </c>
      <c r="B47" t="s">
        <v>59</v>
      </c>
      <c r="C47" t="s">
        <v>80</v>
      </c>
      <c r="D47">
        <v>48700</v>
      </c>
    </row>
    <row r="48" spans="1:4">
      <c r="A48" t="s">
        <v>223</v>
      </c>
      <c r="B48" t="s">
        <v>59</v>
      </c>
      <c r="C48" t="s">
        <v>60</v>
      </c>
      <c r="D48">
        <v>34200</v>
      </c>
    </row>
    <row r="49" spans="1:4">
      <c r="A49" t="s">
        <v>224</v>
      </c>
      <c r="B49" t="s">
        <v>59</v>
      </c>
      <c r="C49" t="s">
        <v>60</v>
      </c>
      <c r="D49">
        <v>53400</v>
      </c>
    </row>
    <row r="50" spans="1:4">
      <c r="A50" t="s">
        <v>225</v>
      </c>
      <c r="B50" t="s">
        <v>59</v>
      </c>
      <c r="C50" t="s">
        <v>67</v>
      </c>
      <c r="D50">
        <v>33700</v>
      </c>
    </row>
    <row r="51" spans="1:4">
      <c r="A51" t="s">
        <v>226</v>
      </c>
      <c r="B51" t="s">
        <v>59</v>
      </c>
      <c r="C51" t="s">
        <v>64</v>
      </c>
      <c r="D51">
        <v>19900</v>
      </c>
    </row>
    <row r="52" spans="1:4">
      <c r="A52" t="s">
        <v>227</v>
      </c>
      <c r="B52" t="s">
        <v>59</v>
      </c>
      <c r="C52" t="s">
        <v>80</v>
      </c>
      <c r="D52">
        <v>32700</v>
      </c>
    </row>
    <row r="53" spans="1:4">
      <c r="A53" t="s">
        <v>228</v>
      </c>
      <c r="B53" t="s">
        <v>59</v>
      </c>
      <c r="C53" t="s">
        <v>80</v>
      </c>
      <c r="D53">
        <v>56600</v>
      </c>
    </row>
    <row r="54" spans="1:4">
      <c r="A54" t="s">
        <v>229</v>
      </c>
      <c r="B54" t="s">
        <v>59</v>
      </c>
      <c r="C54" t="s">
        <v>92</v>
      </c>
      <c r="D54">
        <v>23000</v>
      </c>
    </row>
    <row r="55" spans="1:4">
      <c r="A55" t="s">
        <v>230</v>
      </c>
      <c r="B55" t="s">
        <v>59</v>
      </c>
      <c r="C55" t="s">
        <v>108</v>
      </c>
      <c r="D55">
        <v>54500</v>
      </c>
    </row>
    <row r="56" spans="1:4">
      <c r="A56" t="s">
        <v>231</v>
      </c>
      <c r="B56" t="s">
        <v>59</v>
      </c>
      <c r="C56" t="s">
        <v>60</v>
      </c>
      <c r="D56">
        <v>46200</v>
      </c>
    </row>
    <row r="57" spans="1:4">
      <c r="A57" t="s">
        <v>232</v>
      </c>
      <c r="B57" t="s">
        <v>59</v>
      </c>
      <c r="C57" t="s">
        <v>67</v>
      </c>
      <c r="D57">
        <v>30200</v>
      </c>
    </row>
    <row r="58" spans="1:4">
      <c r="A58" t="s">
        <v>233</v>
      </c>
      <c r="B58" t="s">
        <v>59</v>
      </c>
      <c r="C58" t="s">
        <v>60</v>
      </c>
      <c r="D58">
        <v>59600</v>
      </c>
    </row>
    <row r="59" spans="1:4">
      <c r="A59" t="s">
        <v>234</v>
      </c>
      <c r="B59" t="s">
        <v>59</v>
      </c>
      <c r="C59" t="s">
        <v>67</v>
      </c>
      <c r="D59">
        <v>34800</v>
      </c>
    </row>
    <row r="60" spans="1:4">
      <c r="A60" t="s">
        <v>235</v>
      </c>
      <c r="B60" t="s">
        <v>59</v>
      </c>
      <c r="C60" t="s">
        <v>92</v>
      </c>
      <c r="D60">
        <v>28100</v>
      </c>
    </row>
    <row r="61" spans="1:4">
      <c r="A61" t="s">
        <v>236</v>
      </c>
      <c r="B61" t="s">
        <v>59</v>
      </c>
      <c r="C61" t="s">
        <v>64</v>
      </c>
      <c r="D61">
        <v>19300</v>
      </c>
    </row>
    <row r="62" spans="1:4">
      <c r="A62" t="s">
        <v>237</v>
      </c>
      <c r="B62" t="s">
        <v>131</v>
      </c>
      <c r="C62" t="s">
        <v>60</v>
      </c>
      <c r="D62">
        <v>45600</v>
      </c>
    </row>
    <row r="63" spans="1:4">
      <c r="A63" t="s">
        <v>238</v>
      </c>
      <c r="B63" t="s">
        <v>131</v>
      </c>
      <c r="C63" t="s">
        <v>67</v>
      </c>
      <c r="D63">
        <v>29700</v>
      </c>
    </row>
    <row r="64" spans="1:4">
      <c r="A64" t="s">
        <v>239</v>
      </c>
      <c r="B64" t="s">
        <v>131</v>
      </c>
      <c r="C64" t="s">
        <v>64</v>
      </c>
      <c r="D64">
        <v>41200</v>
      </c>
    </row>
    <row r="65" spans="1:4">
      <c r="A65" t="s">
        <v>240</v>
      </c>
      <c r="B65" t="s">
        <v>131</v>
      </c>
      <c r="C65" t="s">
        <v>64</v>
      </c>
      <c r="D65">
        <v>39800</v>
      </c>
    </row>
    <row r="66" spans="1:4">
      <c r="A66" t="s">
        <v>241</v>
      </c>
      <c r="B66" t="s">
        <v>131</v>
      </c>
      <c r="C66" t="s">
        <v>60</v>
      </c>
      <c r="D66">
        <v>59600</v>
      </c>
    </row>
    <row r="67" spans="1:4">
      <c r="A67" t="s">
        <v>242</v>
      </c>
      <c r="B67" t="s">
        <v>131</v>
      </c>
      <c r="C67" t="s">
        <v>64</v>
      </c>
      <c r="D67">
        <v>34900</v>
      </c>
    </row>
    <row r="68" spans="1:4">
      <c r="A68" t="s">
        <v>243</v>
      </c>
      <c r="B68" t="s">
        <v>131</v>
      </c>
      <c r="C68" t="s">
        <v>92</v>
      </c>
      <c r="D68">
        <v>18800</v>
      </c>
    </row>
    <row r="69" spans="1:4">
      <c r="A69" t="s">
        <v>244</v>
      </c>
      <c r="B69" t="s">
        <v>131</v>
      </c>
      <c r="C69" t="s">
        <v>60</v>
      </c>
      <c r="D69">
        <v>29500</v>
      </c>
    </row>
    <row r="70" spans="1:4">
      <c r="A70" t="s">
        <v>245</v>
      </c>
      <c r="B70" t="s">
        <v>131</v>
      </c>
      <c r="C70" t="s">
        <v>108</v>
      </c>
      <c r="D70">
        <v>64900</v>
      </c>
    </row>
    <row r="71" spans="1:4">
      <c r="A71" t="s">
        <v>246</v>
      </c>
      <c r="B71" t="s">
        <v>131</v>
      </c>
      <c r="C71" t="s">
        <v>60</v>
      </c>
      <c r="D71">
        <v>38900</v>
      </c>
    </row>
    <row r="72" spans="1:4">
      <c r="A72" t="s">
        <v>247</v>
      </c>
      <c r="B72" t="s">
        <v>131</v>
      </c>
      <c r="C72" t="s">
        <v>80</v>
      </c>
      <c r="D72">
        <v>50100</v>
      </c>
    </row>
    <row r="73" spans="1:4">
      <c r="A73" t="s">
        <v>248</v>
      </c>
      <c r="B73" t="s">
        <v>131</v>
      </c>
      <c r="C73" t="s">
        <v>77</v>
      </c>
      <c r="D73">
        <v>60000</v>
      </c>
    </row>
    <row r="74" spans="1:4">
      <c r="A74" t="s">
        <v>249</v>
      </c>
      <c r="B74" t="s">
        <v>131</v>
      </c>
      <c r="C74" t="s">
        <v>60</v>
      </c>
      <c r="D74">
        <v>49600</v>
      </c>
    </row>
    <row r="75" spans="1:4">
      <c r="A75" t="s">
        <v>250</v>
      </c>
      <c r="B75" t="s">
        <v>131</v>
      </c>
      <c r="C75" t="s">
        <v>60</v>
      </c>
      <c r="D75">
        <v>44100</v>
      </c>
    </row>
    <row r="76" spans="1:4">
      <c r="A76" t="s">
        <v>251</v>
      </c>
      <c r="B76" t="s">
        <v>131</v>
      </c>
      <c r="C76" t="s">
        <v>80</v>
      </c>
      <c r="D76">
        <v>42600</v>
      </c>
    </row>
    <row r="77" spans="1:4">
      <c r="A77" t="s">
        <v>252</v>
      </c>
      <c r="B77" t="s">
        <v>131</v>
      </c>
      <c r="C77" t="s">
        <v>77</v>
      </c>
      <c r="D77">
        <v>30700</v>
      </c>
    </row>
    <row r="78" spans="1:4">
      <c r="A78" t="s">
        <v>253</v>
      </c>
      <c r="B78" t="s">
        <v>131</v>
      </c>
      <c r="C78" t="s">
        <v>64</v>
      </c>
      <c r="D78">
        <v>44800</v>
      </c>
    </row>
    <row r="79" spans="1:4">
      <c r="A79" t="s">
        <v>254</v>
      </c>
      <c r="B79" t="s">
        <v>131</v>
      </c>
      <c r="C79" t="s">
        <v>77</v>
      </c>
      <c r="D79">
        <v>31600</v>
      </c>
    </row>
    <row r="80" spans="1:4">
      <c r="A80" t="s">
        <v>255</v>
      </c>
      <c r="B80" t="s">
        <v>131</v>
      </c>
      <c r="C80" t="s">
        <v>64</v>
      </c>
      <c r="D80">
        <v>28500</v>
      </c>
    </row>
    <row r="81" spans="1:4">
      <c r="A81" t="s">
        <v>256</v>
      </c>
      <c r="B81" t="s">
        <v>131</v>
      </c>
      <c r="C81" t="s">
        <v>64</v>
      </c>
      <c r="D81">
        <v>39500</v>
      </c>
    </row>
    <row r="82" spans="1:4">
      <c r="A82" t="s">
        <v>257</v>
      </c>
      <c r="B82" t="s">
        <v>131</v>
      </c>
      <c r="C82" t="s">
        <v>108</v>
      </c>
      <c r="D82">
        <v>63300</v>
      </c>
    </row>
    <row r="83" spans="1:4">
      <c r="A83" t="s">
        <v>258</v>
      </c>
      <c r="B83" t="s">
        <v>131</v>
      </c>
      <c r="C83" t="s">
        <v>80</v>
      </c>
      <c r="D83">
        <v>47900</v>
      </c>
    </row>
    <row r="84" spans="1:4">
      <c r="A84" t="s">
        <v>259</v>
      </c>
      <c r="B84" t="s">
        <v>131</v>
      </c>
      <c r="C84" t="s">
        <v>64</v>
      </c>
      <c r="D84">
        <v>34900</v>
      </c>
    </row>
    <row r="85" spans="1:4">
      <c r="A85" t="s">
        <v>260</v>
      </c>
      <c r="B85" t="s">
        <v>131</v>
      </c>
      <c r="C85" t="s">
        <v>60</v>
      </c>
      <c r="D85">
        <v>57400</v>
      </c>
    </row>
    <row r="86" spans="1:4">
      <c r="A86" t="s">
        <v>261</v>
      </c>
      <c r="B86" t="s">
        <v>131</v>
      </c>
      <c r="C86" t="s">
        <v>64</v>
      </c>
      <c r="D86">
        <v>19200</v>
      </c>
    </row>
    <row r="87" spans="1:4">
      <c r="A87" t="s">
        <v>262</v>
      </c>
      <c r="B87" t="s">
        <v>131</v>
      </c>
      <c r="C87" t="s">
        <v>60</v>
      </c>
      <c r="D87">
        <v>49200</v>
      </c>
    </row>
    <row r="88" spans="1:4">
      <c r="A88" t="s">
        <v>263</v>
      </c>
      <c r="B88" t="s">
        <v>131</v>
      </c>
      <c r="C88" t="s">
        <v>67</v>
      </c>
      <c r="D88">
        <v>27400</v>
      </c>
    </row>
    <row r="89" spans="1:4">
      <c r="A89" t="s">
        <v>264</v>
      </c>
      <c r="B89" t="s">
        <v>131</v>
      </c>
      <c r="C89" t="s">
        <v>67</v>
      </c>
      <c r="D89">
        <v>33400</v>
      </c>
    </row>
    <row r="90" spans="1:4">
      <c r="A90" t="s">
        <v>265</v>
      </c>
      <c r="B90" t="s">
        <v>131</v>
      </c>
      <c r="C90" t="s">
        <v>60</v>
      </c>
      <c r="D90">
        <v>40700</v>
      </c>
    </row>
    <row r="91" spans="1:4">
      <c r="A91" t="s">
        <v>266</v>
      </c>
      <c r="B91" t="s">
        <v>131</v>
      </c>
      <c r="C91" t="s">
        <v>60</v>
      </c>
      <c r="D91">
        <v>42100</v>
      </c>
    </row>
    <row r="92" spans="1:4">
      <c r="A92" t="s">
        <v>267</v>
      </c>
      <c r="B92" t="s">
        <v>131</v>
      </c>
      <c r="C92" t="s">
        <v>64</v>
      </c>
      <c r="D92">
        <v>40500</v>
      </c>
    </row>
    <row r="93" spans="1:4">
      <c r="A93" t="s">
        <v>268</v>
      </c>
      <c r="B93" t="s">
        <v>131</v>
      </c>
      <c r="C93" t="s">
        <v>64</v>
      </c>
      <c r="D93">
        <v>35100</v>
      </c>
    </row>
    <row r="94" spans="1:4">
      <c r="A94" t="s">
        <v>269</v>
      </c>
      <c r="B94" t="s">
        <v>131</v>
      </c>
      <c r="C94" t="s">
        <v>92</v>
      </c>
      <c r="D94">
        <v>22100</v>
      </c>
    </row>
    <row r="95" spans="1:4">
      <c r="A95" t="s">
        <v>270</v>
      </c>
      <c r="B95" t="s">
        <v>131</v>
      </c>
      <c r="C95" t="s">
        <v>67</v>
      </c>
      <c r="D95">
        <v>23000</v>
      </c>
    </row>
    <row r="96" spans="1:4">
      <c r="A96" t="s">
        <v>271</v>
      </c>
      <c r="B96" t="s">
        <v>131</v>
      </c>
      <c r="C96" t="s">
        <v>60</v>
      </c>
      <c r="D96">
        <v>54000</v>
      </c>
    </row>
    <row r="97" spans="1:4">
      <c r="A97" t="s">
        <v>272</v>
      </c>
      <c r="B97" t="s">
        <v>131</v>
      </c>
      <c r="C97" t="s">
        <v>60</v>
      </c>
      <c r="D97">
        <v>48500</v>
      </c>
    </row>
    <row r="98" spans="1:4">
      <c r="A98" t="s">
        <v>273</v>
      </c>
      <c r="B98" t="s">
        <v>170</v>
      </c>
      <c r="C98" t="s">
        <v>80</v>
      </c>
      <c r="D98">
        <v>55100</v>
      </c>
    </row>
    <row r="99" spans="1:4">
      <c r="A99" t="s">
        <v>274</v>
      </c>
      <c r="B99" t="s">
        <v>170</v>
      </c>
      <c r="C99" t="s">
        <v>92</v>
      </c>
      <c r="D99">
        <v>23700</v>
      </c>
    </row>
    <row r="100" spans="1:4">
      <c r="A100" t="s">
        <v>275</v>
      </c>
      <c r="B100" t="s">
        <v>170</v>
      </c>
      <c r="C100" t="s">
        <v>60</v>
      </c>
      <c r="D100">
        <v>85340</v>
      </c>
    </row>
    <row r="101" spans="1:4">
      <c r="A101" t="s">
        <v>276</v>
      </c>
      <c r="B101" t="s">
        <v>170</v>
      </c>
      <c r="C101" t="s">
        <v>60</v>
      </c>
      <c r="D101">
        <v>34600</v>
      </c>
    </row>
    <row r="102" spans="1:4">
      <c r="A102" t="s">
        <v>277</v>
      </c>
      <c r="B102" t="s">
        <v>170</v>
      </c>
      <c r="C102" t="s">
        <v>77</v>
      </c>
      <c r="D102">
        <v>51300</v>
      </c>
    </row>
  </sheetData>
  <mergeCells count="2">
    <mergeCell ref="G1:H1"/>
    <mergeCell ref="G2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86D8-ADA3-49E2-BAD9-F1719FB69392}">
  <dimension ref="A1:L102"/>
  <sheetViews>
    <sheetView topLeftCell="F1" workbookViewId="0">
      <selection activeCell="J12" sqref="J12:K18"/>
    </sheetView>
  </sheetViews>
  <sheetFormatPr defaultColWidth="8.85546875" defaultRowHeight="14.45"/>
  <cols>
    <col min="1" max="1" width="18.28515625" bestFit="1" customWidth="1"/>
    <col min="2" max="2" width="4.28515625" bestFit="1" customWidth="1"/>
    <col min="4" max="4" width="32.42578125" bestFit="1" customWidth="1"/>
    <col min="5" max="5" width="9.28515625" bestFit="1" customWidth="1"/>
    <col min="6" max="6" width="16.5703125" bestFit="1" customWidth="1"/>
    <col min="7" max="7" width="17.85546875" bestFit="1" customWidth="1"/>
    <col min="10" max="10" width="39.42578125" bestFit="1" customWidth="1"/>
    <col min="11" max="11" width="20.5703125" customWidth="1"/>
    <col min="12" max="12" width="59.42578125" customWidth="1"/>
  </cols>
  <sheetData>
    <row r="1" spans="1:12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  <c r="K1" t="s">
        <v>278</v>
      </c>
      <c r="L1" t="s">
        <v>279</v>
      </c>
    </row>
    <row r="2" spans="1:12">
      <c r="A2" t="s">
        <v>58</v>
      </c>
      <c r="B2">
        <v>38</v>
      </c>
      <c r="C2" t="s">
        <v>59</v>
      </c>
      <c r="D2" t="s">
        <v>60</v>
      </c>
      <c r="E2">
        <v>32600</v>
      </c>
      <c r="F2">
        <v>9</v>
      </c>
      <c r="G2">
        <v>4</v>
      </c>
      <c r="J2" s="5" t="s">
        <v>32</v>
      </c>
      <c r="K2" s="24">
        <f>SUM(E2:E102)</f>
        <v>4113640</v>
      </c>
      <c r="L2" s="6" t="s">
        <v>280</v>
      </c>
    </row>
    <row r="3" spans="1:12">
      <c r="A3" t="s">
        <v>62</v>
      </c>
      <c r="B3">
        <v>35</v>
      </c>
      <c r="C3" t="s">
        <v>59</v>
      </c>
      <c r="D3" t="s">
        <v>60</v>
      </c>
      <c r="E3">
        <v>51000</v>
      </c>
      <c r="F3">
        <v>10</v>
      </c>
      <c r="G3">
        <v>8</v>
      </c>
      <c r="J3" s="5" t="s">
        <v>33</v>
      </c>
      <c r="K3" s="6">
        <f>COUNTA(A2:A102)</f>
        <v>101</v>
      </c>
      <c r="L3" s="6" t="s">
        <v>281</v>
      </c>
    </row>
    <row r="4" spans="1:12">
      <c r="A4" t="s">
        <v>63</v>
      </c>
      <c r="B4">
        <v>40</v>
      </c>
      <c r="C4" t="s">
        <v>59</v>
      </c>
      <c r="D4" t="s">
        <v>64</v>
      </c>
      <c r="E4">
        <v>27800</v>
      </c>
      <c r="F4">
        <v>0</v>
      </c>
      <c r="G4">
        <v>4</v>
      </c>
      <c r="J4" s="5" t="s">
        <v>34</v>
      </c>
      <c r="K4" s="25">
        <f>AVERAGE(F2:F102)</f>
        <v>6.5346534653465342</v>
      </c>
      <c r="L4" s="6" t="s">
        <v>282</v>
      </c>
    </row>
    <row r="5" spans="1:12">
      <c r="A5" t="s">
        <v>65</v>
      </c>
      <c r="B5">
        <v>43</v>
      </c>
      <c r="C5" t="s">
        <v>59</v>
      </c>
      <c r="D5" t="s">
        <v>64</v>
      </c>
      <c r="E5">
        <v>28700</v>
      </c>
      <c r="F5">
        <v>14</v>
      </c>
      <c r="G5">
        <v>9</v>
      </c>
      <c r="J5" s="5" t="s">
        <v>35</v>
      </c>
      <c r="K5" s="9">
        <f>_xlfn.MODE.SNGL(B2:B102)</f>
        <v>42</v>
      </c>
      <c r="L5" s="9" t="s">
        <v>283</v>
      </c>
    </row>
    <row r="6" spans="1:12">
      <c r="A6" t="s">
        <v>66</v>
      </c>
      <c r="B6">
        <v>62</v>
      </c>
      <c r="C6" t="s">
        <v>59</v>
      </c>
      <c r="D6" t="s">
        <v>67</v>
      </c>
      <c r="E6">
        <v>15500</v>
      </c>
      <c r="F6">
        <v>17</v>
      </c>
      <c r="G6">
        <v>3</v>
      </c>
      <c r="J6" s="8" t="s">
        <v>36</v>
      </c>
      <c r="K6" s="10">
        <f>MEDIAN(F2:F102)</f>
        <v>5</v>
      </c>
      <c r="L6" s="10" t="s">
        <v>284</v>
      </c>
    </row>
    <row r="7" spans="1:12">
      <c r="A7" t="s">
        <v>68</v>
      </c>
      <c r="B7">
        <v>49</v>
      </c>
      <c r="C7" t="s">
        <v>59</v>
      </c>
      <c r="D7" t="s">
        <v>60</v>
      </c>
      <c r="E7">
        <v>25200</v>
      </c>
      <c r="F7">
        <v>3</v>
      </c>
      <c r="G7">
        <v>8</v>
      </c>
      <c r="J7" s="8" t="s">
        <v>37</v>
      </c>
      <c r="K7" s="26">
        <f>MAX(E2:E102)-MIN(E2:E102)</f>
        <v>69840</v>
      </c>
      <c r="L7" s="11" t="s">
        <v>285</v>
      </c>
    </row>
    <row r="8" spans="1:12">
      <c r="A8" t="s">
        <v>70</v>
      </c>
      <c r="B8">
        <v>52</v>
      </c>
      <c r="C8" t="s">
        <v>59</v>
      </c>
      <c r="D8" t="s">
        <v>64</v>
      </c>
      <c r="E8">
        <v>39100</v>
      </c>
      <c r="F8">
        <v>2</v>
      </c>
      <c r="G8">
        <v>7</v>
      </c>
    </row>
    <row r="9" spans="1:12">
      <c r="A9" t="s">
        <v>71</v>
      </c>
      <c r="B9">
        <v>56</v>
      </c>
      <c r="C9" t="s">
        <v>59</v>
      </c>
      <c r="D9" t="s">
        <v>64</v>
      </c>
      <c r="E9">
        <v>35600</v>
      </c>
      <c r="F9">
        <v>4</v>
      </c>
      <c r="G9">
        <v>4</v>
      </c>
    </row>
    <row r="10" spans="1:12" ht="15" thickBot="1">
      <c r="A10" t="s">
        <v>73</v>
      </c>
      <c r="B10">
        <v>35</v>
      </c>
      <c r="C10" t="s">
        <v>59</v>
      </c>
      <c r="D10" t="s">
        <v>60</v>
      </c>
      <c r="E10">
        <v>51400</v>
      </c>
      <c r="F10">
        <v>3</v>
      </c>
      <c r="G10">
        <v>5</v>
      </c>
    </row>
    <row r="11" spans="1:12" ht="15" thickBot="1">
      <c r="A11" t="s">
        <v>74</v>
      </c>
      <c r="B11">
        <v>33</v>
      </c>
      <c r="C11" t="s">
        <v>59</v>
      </c>
      <c r="D11" t="s">
        <v>60</v>
      </c>
      <c r="E11">
        <v>43300</v>
      </c>
      <c r="F11">
        <v>6</v>
      </c>
      <c r="G11">
        <v>2</v>
      </c>
      <c r="J11" s="29" t="s">
        <v>57</v>
      </c>
      <c r="K11" s="30"/>
    </row>
    <row r="12" spans="1:12">
      <c r="A12" t="s">
        <v>75</v>
      </c>
      <c r="B12">
        <v>55</v>
      </c>
      <c r="C12" t="s">
        <v>59</v>
      </c>
      <c r="D12" t="s">
        <v>60</v>
      </c>
      <c r="E12">
        <v>46100</v>
      </c>
      <c r="F12">
        <v>3</v>
      </c>
      <c r="G12">
        <v>10</v>
      </c>
      <c r="J12" s="46" t="s">
        <v>61</v>
      </c>
      <c r="K12" s="47"/>
    </row>
    <row r="13" spans="1:12">
      <c r="A13" t="s">
        <v>76</v>
      </c>
      <c r="B13">
        <v>34</v>
      </c>
      <c r="C13" t="s">
        <v>59</v>
      </c>
      <c r="D13" t="s">
        <v>77</v>
      </c>
      <c r="E13">
        <v>41100</v>
      </c>
      <c r="F13">
        <v>4</v>
      </c>
      <c r="G13">
        <v>1</v>
      </c>
      <c r="J13" s="48"/>
      <c r="K13" s="49"/>
    </row>
    <row r="14" spans="1:12">
      <c r="A14" t="s">
        <v>78</v>
      </c>
      <c r="B14">
        <v>40</v>
      </c>
      <c r="C14" t="s">
        <v>59</v>
      </c>
      <c r="D14" t="s">
        <v>60</v>
      </c>
      <c r="E14">
        <v>37500</v>
      </c>
      <c r="F14">
        <v>7</v>
      </c>
      <c r="G14">
        <v>1</v>
      </c>
      <c r="J14" s="48"/>
      <c r="K14" s="49"/>
    </row>
    <row r="15" spans="1:12">
      <c r="A15" t="s">
        <v>79</v>
      </c>
      <c r="B15">
        <v>34</v>
      </c>
      <c r="C15" t="s">
        <v>59</v>
      </c>
      <c r="D15" t="s">
        <v>80</v>
      </c>
      <c r="E15">
        <v>41000</v>
      </c>
      <c r="F15">
        <v>3</v>
      </c>
      <c r="G15">
        <v>2</v>
      </c>
      <c r="J15" s="48"/>
      <c r="K15" s="49"/>
    </row>
    <row r="16" spans="1:12">
      <c r="A16" t="s">
        <v>81</v>
      </c>
      <c r="B16">
        <v>56</v>
      </c>
      <c r="C16" t="s">
        <v>59</v>
      </c>
      <c r="D16" t="s">
        <v>60</v>
      </c>
      <c r="E16">
        <v>48000</v>
      </c>
      <c r="F16">
        <v>6</v>
      </c>
      <c r="G16">
        <v>8</v>
      </c>
      <c r="J16" s="48"/>
      <c r="K16" s="49"/>
    </row>
    <row r="17" spans="1:11">
      <c r="A17" t="s">
        <v>82</v>
      </c>
      <c r="B17">
        <v>35</v>
      </c>
      <c r="C17" t="s">
        <v>59</v>
      </c>
      <c r="D17" t="s">
        <v>60</v>
      </c>
      <c r="E17">
        <v>64100</v>
      </c>
      <c r="F17">
        <v>1</v>
      </c>
      <c r="G17">
        <v>8</v>
      </c>
      <c r="J17" s="48"/>
      <c r="K17" s="49"/>
    </row>
    <row r="18" spans="1:11" ht="15" thickBot="1">
      <c r="A18" t="s">
        <v>83</v>
      </c>
      <c r="B18">
        <v>43</v>
      </c>
      <c r="C18" t="s">
        <v>59</v>
      </c>
      <c r="D18" t="s">
        <v>80</v>
      </c>
      <c r="E18">
        <v>56400</v>
      </c>
      <c r="F18">
        <v>11</v>
      </c>
      <c r="G18">
        <v>1</v>
      </c>
      <c r="J18" s="50"/>
      <c r="K18" s="51"/>
    </row>
    <row r="19" spans="1:11">
      <c r="A19" t="s">
        <v>84</v>
      </c>
      <c r="B19">
        <v>31</v>
      </c>
      <c r="C19" t="s">
        <v>59</v>
      </c>
      <c r="D19" t="s">
        <v>60</v>
      </c>
      <c r="E19">
        <v>37000</v>
      </c>
      <c r="F19">
        <v>31</v>
      </c>
      <c r="G19">
        <v>8</v>
      </c>
    </row>
    <row r="20" spans="1:11">
      <c r="A20" t="s">
        <v>85</v>
      </c>
      <c r="B20">
        <v>37</v>
      </c>
      <c r="C20" t="s">
        <v>59</v>
      </c>
      <c r="D20" t="s">
        <v>60</v>
      </c>
      <c r="E20">
        <v>44300</v>
      </c>
      <c r="F20">
        <v>10</v>
      </c>
      <c r="G20">
        <v>3</v>
      </c>
    </row>
    <row r="21" spans="1:11">
      <c r="A21" t="s">
        <v>86</v>
      </c>
      <c r="B21">
        <v>29</v>
      </c>
      <c r="C21" t="s">
        <v>59</v>
      </c>
      <c r="D21" t="s">
        <v>60</v>
      </c>
      <c r="E21">
        <v>28000</v>
      </c>
      <c r="F21">
        <v>5</v>
      </c>
      <c r="G21">
        <v>8</v>
      </c>
    </row>
    <row r="22" spans="1:11">
      <c r="A22" t="s">
        <v>87</v>
      </c>
      <c r="B22">
        <v>60</v>
      </c>
      <c r="C22" t="s">
        <v>59</v>
      </c>
      <c r="D22" t="s">
        <v>60</v>
      </c>
      <c r="E22">
        <v>38200</v>
      </c>
      <c r="F22">
        <v>6</v>
      </c>
      <c r="G22">
        <v>3</v>
      </c>
    </row>
    <row r="23" spans="1:11">
      <c r="A23" t="s">
        <v>88</v>
      </c>
      <c r="B23">
        <v>51</v>
      </c>
      <c r="C23" t="s">
        <v>59</v>
      </c>
      <c r="D23" t="s">
        <v>60</v>
      </c>
      <c r="E23">
        <v>47200</v>
      </c>
      <c r="F23">
        <v>5</v>
      </c>
      <c r="G23">
        <v>8</v>
      </c>
    </row>
    <row r="24" spans="1:11">
      <c r="A24" t="s">
        <v>90</v>
      </c>
      <c r="B24">
        <v>46</v>
      </c>
      <c r="C24" t="s">
        <v>59</v>
      </c>
      <c r="D24" t="s">
        <v>64</v>
      </c>
      <c r="E24">
        <v>31500</v>
      </c>
      <c r="F24">
        <v>2</v>
      </c>
      <c r="G24">
        <v>1</v>
      </c>
    </row>
    <row r="25" spans="1:11">
      <c r="A25" t="s">
        <v>91</v>
      </c>
      <c r="B25">
        <v>42</v>
      </c>
      <c r="C25" t="s">
        <v>59</v>
      </c>
      <c r="D25" t="s">
        <v>92</v>
      </c>
      <c r="E25">
        <v>24200</v>
      </c>
      <c r="F25">
        <v>4</v>
      </c>
      <c r="G25">
        <v>8</v>
      </c>
    </row>
    <row r="26" spans="1:11">
      <c r="A26" t="s">
        <v>93</v>
      </c>
      <c r="B26">
        <v>43</v>
      </c>
      <c r="C26" t="s">
        <v>59</v>
      </c>
      <c r="D26" t="s">
        <v>60</v>
      </c>
      <c r="E26">
        <v>55100</v>
      </c>
      <c r="F26">
        <v>10</v>
      </c>
      <c r="G26">
        <v>1</v>
      </c>
    </row>
    <row r="27" spans="1:11">
      <c r="A27" t="s">
        <v>94</v>
      </c>
      <c r="B27">
        <v>54</v>
      </c>
      <c r="C27" t="s">
        <v>59</v>
      </c>
      <c r="D27" t="s">
        <v>77</v>
      </c>
      <c r="E27">
        <v>37600</v>
      </c>
      <c r="F27">
        <v>15</v>
      </c>
      <c r="G27">
        <v>6</v>
      </c>
    </row>
    <row r="28" spans="1:11">
      <c r="A28" t="s">
        <v>95</v>
      </c>
      <c r="B28">
        <v>48</v>
      </c>
      <c r="C28" t="s">
        <v>59</v>
      </c>
      <c r="D28" t="s">
        <v>92</v>
      </c>
      <c r="E28">
        <v>27100</v>
      </c>
      <c r="F28">
        <v>2</v>
      </c>
      <c r="G28">
        <v>3</v>
      </c>
    </row>
    <row r="29" spans="1:11">
      <c r="A29" t="s">
        <v>96</v>
      </c>
      <c r="B29">
        <v>52</v>
      </c>
      <c r="C29" t="s">
        <v>59</v>
      </c>
      <c r="D29" t="s">
        <v>64</v>
      </c>
      <c r="E29">
        <v>45400</v>
      </c>
      <c r="F29">
        <v>2</v>
      </c>
      <c r="G29">
        <v>2</v>
      </c>
    </row>
    <row r="30" spans="1:11">
      <c r="A30" t="s">
        <v>97</v>
      </c>
      <c r="B30">
        <v>42</v>
      </c>
      <c r="C30" t="s">
        <v>59</v>
      </c>
      <c r="D30" t="s">
        <v>60</v>
      </c>
      <c r="E30">
        <v>50800</v>
      </c>
      <c r="F30">
        <v>6</v>
      </c>
      <c r="G30">
        <v>8</v>
      </c>
    </row>
    <row r="31" spans="1:11">
      <c r="A31" t="s">
        <v>98</v>
      </c>
      <c r="B31">
        <v>39</v>
      </c>
      <c r="C31" t="s">
        <v>59</v>
      </c>
      <c r="D31" t="s">
        <v>64</v>
      </c>
      <c r="E31">
        <v>31000</v>
      </c>
      <c r="F31">
        <v>44</v>
      </c>
      <c r="G31">
        <v>6</v>
      </c>
    </row>
    <row r="32" spans="1:11">
      <c r="A32" t="s">
        <v>99</v>
      </c>
      <c r="B32">
        <v>42</v>
      </c>
      <c r="C32" t="s">
        <v>59</v>
      </c>
      <c r="D32" t="s">
        <v>92</v>
      </c>
      <c r="E32">
        <v>23000</v>
      </c>
      <c r="F32">
        <v>3</v>
      </c>
      <c r="G32">
        <v>10</v>
      </c>
    </row>
    <row r="33" spans="1:7">
      <c r="A33" t="s">
        <v>100</v>
      </c>
      <c r="B33">
        <v>46</v>
      </c>
      <c r="C33" t="s">
        <v>59</v>
      </c>
      <c r="D33" t="s">
        <v>60</v>
      </c>
      <c r="E33">
        <v>53200</v>
      </c>
      <c r="F33">
        <v>11</v>
      </c>
      <c r="G33">
        <v>11</v>
      </c>
    </row>
    <row r="34" spans="1:7">
      <c r="A34" t="s">
        <v>101</v>
      </c>
      <c r="B34">
        <v>53</v>
      </c>
      <c r="C34" t="s">
        <v>59</v>
      </c>
      <c r="D34" t="s">
        <v>64</v>
      </c>
      <c r="E34">
        <v>39100</v>
      </c>
      <c r="F34">
        <v>7</v>
      </c>
      <c r="G34">
        <v>1</v>
      </c>
    </row>
    <row r="35" spans="1:7">
      <c r="A35" t="s">
        <v>102</v>
      </c>
      <c r="B35">
        <v>40</v>
      </c>
      <c r="C35" t="s">
        <v>59</v>
      </c>
      <c r="D35" t="s">
        <v>60</v>
      </c>
      <c r="E35">
        <v>41500</v>
      </c>
      <c r="F35">
        <v>9</v>
      </c>
      <c r="G35">
        <v>9</v>
      </c>
    </row>
    <row r="36" spans="1:7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</row>
    <row r="37" spans="1:7">
      <c r="A37" t="s">
        <v>104</v>
      </c>
      <c r="B37">
        <v>61</v>
      </c>
      <c r="C37" t="s">
        <v>59</v>
      </c>
      <c r="D37" t="s">
        <v>64</v>
      </c>
      <c r="E37">
        <v>35500</v>
      </c>
      <c r="F37">
        <v>0</v>
      </c>
      <c r="G37">
        <v>10</v>
      </c>
    </row>
    <row r="38" spans="1:7">
      <c r="A38" t="s">
        <v>105</v>
      </c>
      <c r="B38">
        <v>44</v>
      </c>
      <c r="C38" t="s">
        <v>59</v>
      </c>
      <c r="D38" t="s">
        <v>64</v>
      </c>
      <c r="E38">
        <v>46100</v>
      </c>
      <c r="F38">
        <v>0</v>
      </c>
      <c r="G38">
        <v>9</v>
      </c>
    </row>
    <row r="39" spans="1:7">
      <c r="A39" t="s">
        <v>106</v>
      </c>
      <c r="B39">
        <v>48</v>
      </c>
      <c r="C39" t="s">
        <v>59</v>
      </c>
      <c r="D39" t="s">
        <v>60</v>
      </c>
      <c r="E39">
        <v>37300</v>
      </c>
      <c r="F39">
        <v>4</v>
      </c>
      <c r="G39">
        <v>7</v>
      </c>
    </row>
    <row r="40" spans="1:7">
      <c r="A40" t="s">
        <v>107</v>
      </c>
      <c r="B40">
        <v>38</v>
      </c>
      <c r="C40" t="s">
        <v>59</v>
      </c>
      <c r="D40" t="s">
        <v>108</v>
      </c>
      <c r="E40">
        <v>62600</v>
      </c>
      <c r="F40">
        <v>0</v>
      </c>
      <c r="G40">
        <v>4</v>
      </c>
    </row>
    <row r="41" spans="1:7">
      <c r="A41" t="s">
        <v>109</v>
      </c>
      <c r="B41">
        <v>31</v>
      </c>
      <c r="C41" t="s">
        <v>59</v>
      </c>
      <c r="D41" t="s">
        <v>64</v>
      </c>
      <c r="E41">
        <v>29400</v>
      </c>
      <c r="F41">
        <v>12</v>
      </c>
      <c r="G41">
        <v>4</v>
      </c>
    </row>
    <row r="42" spans="1:7">
      <c r="A42" t="s">
        <v>110</v>
      </c>
      <c r="B42">
        <v>54</v>
      </c>
      <c r="C42" t="s">
        <v>59</v>
      </c>
      <c r="D42" t="s">
        <v>60</v>
      </c>
      <c r="E42">
        <v>53200</v>
      </c>
      <c r="F42">
        <v>2</v>
      </c>
      <c r="G42">
        <v>3</v>
      </c>
    </row>
    <row r="43" spans="1:7">
      <c r="A43" t="s">
        <v>111</v>
      </c>
      <c r="B43">
        <v>52</v>
      </c>
      <c r="C43" t="s">
        <v>59</v>
      </c>
      <c r="D43" t="s">
        <v>80</v>
      </c>
      <c r="E43">
        <v>45600</v>
      </c>
      <c r="F43">
        <v>4</v>
      </c>
      <c r="G43">
        <v>9</v>
      </c>
    </row>
    <row r="44" spans="1:7">
      <c r="A44" t="s">
        <v>112</v>
      </c>
      <c r="B44">
        <v>51</v>
      </c>
      <c r="C44" t="s">
        <v>59</v>
      </c>
      <c r="D44" t="s">
        <v>77</v>
      </c>
      <c r="E44">
        <v>45400</v>
      </c>
      <c r="F44">
        <v>5</v>
      </c>
      <c r="G44">
        <v>1</v>
      </c>
    </row>
    <row r="45" spans="1:7">
      <c r="A45" t="s">
        <v>113</v>
      </c>
      <c r="B45">
        <v>54</v>
      </c>
      <c r="C45" t="s">
        <v>59</v>
      </c>
      <c r="D45" t="s">
        <v>67</v>
      </c>
      <c r="E45">
        <v>30500</v>
      </c>
      <c r="F45">
        <v>11</v>
      </c>
      <c r="G45">
        <v>8</v>
      </c>
    </row>
    <row r="46" spans="1:7">
      <c r="A46" t="s">
        <v>114</v>
      </c>
      <c r="B46">
        <v>49</v>
      </c>
      <c r="C46" t="s">
        <v>59</v>
      </c>
      <c r="D46" t="s">
        <v>77</v>
      </c>
      <c r="E46">
        <v>51500</v>
      </c>
      <c r="F46">
        <v>0</v>
      </c>
      <c r="G46">
        <v>1</v>
      </c>
    </row>
    <row r="47" spans="1:7">
      <c r="A47" t="s">
        <v>115</v>
      </c>
      <c r="B47">
        <v>42</v>
      </c>
      <c r="C47" t="s">
        <v>59</v>
      </c>
      <c r="D47" t="s">
        <v>80</v>
      </c>
      <c r="E47">
        <v>48700</v>
      </c>
      <c r="F47">
        <v>4</v>
      </c>
      <c r="G47">
        <v>1</v>
      </c>
    </row>
    <row r="48" spans="1:7">
      <c r="A48" t="s">
        <v>116</v>
      </c>
      <c r="B48">
        <v>55</v>
      </c>
      <c r="C48" t="s">
        <v>59</v>
      </c>
      <c r="D48" t="s">
        <v>60</v>
      </c>
      <c r="E48">
        <v>34200</v>
      </c>
      <c r="F48">
        <v>4</v>
      </c>
      <c r="G48">
        <v>6</v>
      </c>
    </row>
    <row r="49" spans="1:7">
      <c r="A49" t="s">
        <v>117</v>
      </c>
      <c r="B49">
        <v>47</v>
      </c>
      <c r="C49" t="s">
        <v>59</v>
      </c>
      <c r="D49" t="s">
        <v>60</v>
      </c>
      <c r="E49">
        <v>53400</v>
      </c>
      <c r="F49">
        <v>8</v>
      </c>
      <c r="G49">
        <v>1</v>
      </c>
    </row>
    <row r="50" spans="1:7">
      <c r="A50" t="s">
        <v>118</v>
      </c>
      <c r="B50">
        <v>43</v>
      </c>
      <c r="C50" t="s">
        <v>59</v>
      </c>
      <c r="D50" t="s">
        <v>67</v>
      </c>
      <c r="E50">
        <v>33700</v>
      </c>
      <c r="F50">
        <v>3</v>
      </c>
      <c r="G50">
        <v>8</v>
      </c>
    </row>
    <row r="51" spans="1:7">
      <c r="A51" t="s">
        <v>119</v>
      </c>
      <c r="B51">
        <v>48</v>
      </c>
      <c r="C51" t="s">
        <v>59</v>
      </c>
      <c r="D51" t="s">
        <v>64</v>
      </c>
      <c r="E51">
        <v>19900</v>
      </c>
      <c r="F51">
        <v>7</v>
      </c>
      <c r="G51">
        <v>6</v>
      </c>
    </row>
    <row r="52" spans="1:7">
      <c r="A52" t="s">
        <v>120</v>
      </c>
      <c r="B52">
        <v>35</v>
      </c>
      <c r="C52" t="s">
        <v>59</v>
      </c>
      <c r="D52" t="s">
        <v>80</v>
      </c>
      <c r="E52">
        <v>32700</v>
      </c>
      <c r="F52">
        <v>0</v>
      </c>
      <c r="G52">
        <v>3</v>
      </c>
    </row>
    <row r="53" spans="1:7">
      <c r="A53" t="s">
        <v>121</v>
      </c>
      <c r="B53">
        <v>33</v>
      </c>
      <c r="C53" t="s">
        <v>59</v>
      </c>
      <c r="D53" t="s">
        <v>80</v>
      </c>
      <c r="E53">
        <v>56600</v>
      </c>
      <c r="F53">
        <v>6</v>
      </c>
      <c r="G53">
        <v>9</v>
      </c>
    </row>
    <row r="54" spans="1:7">
      <c r="A54" t="s">
        <v>122</v>
      </c>
      <c r="B54">
        <v>46</v>
      </c>
      <c r="C54" t="s">
        <v>59</v>
      </c>
      <c r="D54" t="s">
        <v>92</v>
      </c>
      <c r="E54">
        <v>23000</v>
      </c>
      <c r="F54">
        <v>2</v>
      </c>
      <c r="G54">
        <v>7</v>
      </c>
    </row>
    <row r="55" spans="1:7">
      <c r="A55" t="s">
        <v>123</v>
      </c>
      <c r="B55">
        <v>46</v>
      </c>
      <c r="C55" t="s">
        <v>59</v>
      </c>
      <c r="D55" t="s">
        <v>108</v>
      </c>
      <c r="E55">
        <v>54500</v>
      </c>
      <c r="F55">
        <v>10</v>
      </c>
      <c r="G55">
        <v>5</v>
      </c>
    </row>
    <row r="56" spans="1:7">
      <c r="A56" t="s">
        <v>124</v>
      </c>
      <c r="B56">
        <v>51</v>
      </c>
      <c r="C56" t="s">
        <v>59</v>
      </c>
      <c r="D56" t="s">
        <v>60</v>
      </c>
      <c r="E56">
        <v>46200</v>
      </c>
      <c r="F56">
        <v>8</v>
      </c>
      <c r="G56">
        <v>7</v>
      </c>
    </row>
    <row r="57" spans="1:7">
      <c r="A57" t="s">
        <v>125</v>
      </c>
      <c r="B57">
        <v>44</v>
      </c>
      <c r="C57" t="s">
        <v>59</v>
      </c>
      <c r="D57" t="s">
        <v>67</v>
      </c>
      <c r="E57">
        <v>30200</v>
      </c>
      <c r="F57">
        <v>19</v>
      </c>
      <c r="G57">
        <v>1</v>
      </c>
    </row>
    <row r="58" spans="1:7">
      <c r="A58" t="s">
        <v>126</v>
      </c>
      <c r="B58">
        <v>55</v>
      </c>
      <c r="C58" t="s">
        <v>59</v>
      </c>
      <c r="D58" t="s">
        <v>60</v>
      </c>
      <c r="E58">
        <v>59600</v>
      </c>
      <c r="F58">
        <v>13</v>
      </c>
      <c r="G58">
        <v>3</v>
      </c>
    </row>
    <row r="59" spans="1:7">
      <c r="A59" t="s">
        <v>127</v>
      </c>
      <c r="B59">
        <v>57</v>
      </c>
      <c r="C59" t="s">
        <v>59</v>
      </c>
      <c r="D59" t="s">
        <v>67</v>
      </c>
      <c r="E59">
        <v>34800</v>
      </c>
      <c r="F59">
        <v>9</v>
      </c>
      <c r="G59">
        <v>2</v>
      </c>
    </row>
    <row r="60" spans="1:7">
      <c r="A60" t="s">
        <v>128</v>
      </c>
      <c r="B60">
        <v>53</v>
      </c>
      <c r="C60" t="s">
        <v>59</v>
      </c>
      <c r="D60" t="s">
        <v>92</v>
      </c>
      <c r="E60">
        <v>28100</v>
      </c>
      <c r="F60">
        <v>5</v>
      </c>
      <c r="G60">
        <v>2</v>
      </c>
    </row>
    <row r="61" spans="1:7">
      <c r="A61" t="s">
        <v>129</v>
      </c>
      <c r="B61">
        <v>57</v>
      </c>
      <c r="C61" t="s">
        <v>59</v>
      </c>
      <c r="D61" t="s">
        <v>64</v>
      </c>
      <c r="E61">
        <v>19300</v>
      </c>
      <c r="F61">
        <v>0</v>
      </c>
      <c r="G61">
        <v>4</v>
      </c>
    </row>
    <row r="62" spans="1:7">
      <c r="A62" t="s">
        <v>130</v>
      </c>
      <c r="B62">
        <v>36</v>
      </c>
      <c r="C62" t="s">
        <v>131</v>
      </c>
      <c r="D62" t="s">
        <v>60</v>
      </c>
      <c r="E62">
        <v>45600</v>
      </c>
      <c r="F62">
        <v>17</v>
      </c>
      <c r="G62">
        <v>7</v>
      </c>
    </row>
    <row r="63" spans="1:7">
      <c r="A63" t="s">
        <v>132</v>
      </c>
      <c r="B63">
        <v>42</v>
      </c>
      <c r="C63" t="s">
        <v>131</v>
      </c>
      <c r="D63" t="s">
        <v>67</v>
      </c>
      <c r="E63">
        <v>29700</v>
      </c>
      <c r="F63">
        <v>4</v>
      </c>
      <c r="G63">
        <v>4</v>
      </c>
    </row>
    <row r="64" spans="1:7">
      <c r="A64" t="s">
        <v>133</v>
      </c>
      <c r="B64">
        <v>32</v>
      </c>
      <c r="C64" t="s">
        <v>131</v>
      </c>
      <c r="D64" t="s">
        <v>64</v>
      </c>
      <c r="E64">
        <v>41200</v>
      </c>
      <c r="F64">
        <v>0</v>
      </c>
      <c r="G64">
        <v>6</v>
      </c>
    </row>
    <row r="65" spans="1:7">
      <c r="A65" t="s">
        <v>134</v>
      </c>
      <c r="B65">
        <v>50</v>
      </c>
      <c r="C65" t="s">
        <v>131</v>
      </c>
      <c r="D65" t="s">
        <v>64</v>
      </c>
      <c r="E65">
        <v>39800</v>
      </c>
      <c r="F65">
        <v>0</v>
      </c>
      <c r="G65">
        <v>5</v>
      </c>
    </row>
    <row r="66" spans="1:7">
      <c r="A66" t="s">
        <v>136</v>
      </c>
      <c r="B66">
        <v>61</v>
      </c>
      <c r="C66" t="s">
        <v>131</v>
      </c>
      <c r="D66" t="s">
        <v>60</v>
      </c>
      <c r="E66">
        <v>59600</v>
      </c>
      <c r="F66">
        <v>8</v>
      </c>
      <c r="G66">
        <v>4</v>
      </c>
    </row>
    <row r="67" spans="1:7">
      <c r="A67" t="s">
        <v>137</v>
      </c>
      <c r="B67">
        <v>52</v>
      </c>
      <c r="C67" t="s">
        <v>131</v>
      </c>
      <c r="D67" t="s">
        <v>64</v>
      </c>
      <c r="E67">
        <v>34900</v>
      </c>
      <c r="F67">
        <v>9</v>
      </c>
      <c r="G67">
        <v>5</v>
      </c>
    </row>
    <row r="68" spans="1:7">
      <c r="A68" t="s">
        <v>138</v>
      </c>
      <c r="B68">
        <v>42</v>
      </c>
      <c r="C68" t="s">
        <v>131</v>
      </c>
      <c r="D68" t="s">
        <v>92</v>
      </c>
      <c r="E68">
        <v>18800</v>
      </c>
      <c r="F68">
        <v>3</v>
      </c>
      <c r="G68">
        <v>7</v>
      </c>
    </row>
    <row r="69" spans="1:7">
      <c r="A69" t="s">
        <v>139</v>
      </c>
      <c r="B69">
        <v>42</v>
      </c>
      <c r="C69" t="s">
        <v>131</v>
      </c>
      <c r="D69" t="s">
        <v>60</v>
      </c>
      <c r="E69">
        <v>29500</v>
      </c>
      <c r="F69">
        <v>6</v>
      </c>
      <c r="G69">
        <v>4</v>
      </c>
    </row>
    <row r="70" spans="1:7">
      <c r="A70" t="s">
        <v>141</v>
      </c>
      <c r="B70">
        <v>54</v>
      </c>
      <c r="C70" t="s">
        <v>131</v>
      </c>
      <c r="D70" t="s">
        <v>108</v>
      </c>
      <c r="E70">
        <v>64900</v>
      </c>
      <c r="F70">
        <v>0</v>
      </c>
      <c r="G70">
        <v>4</v>
      </c>
    </row>
    <row r="71" spans="1:7">
      <c r="A71" t="s">
        <v>142</v>
      </c>
      <c r="B71">
        <v>40</v>
      </c>
      <c r="C71" t="s">
        <v>131</v>
      </c>
      <c r="D71" t="s">
        <v>60</v>
      </c>
      <c r="E71">
        <v>38900</v>
      </c>
      <c r="F71">
        <v>8</v>
      </c>
      <c r="G71">
        <v>3</v>
      </c>
    </row>
    <row r="72" spans="1:7">
      <c r="A72" t="s">
        <v>143</v>
      </c>
      <c r="B72">
        <v>55</v>
      </c>
      <c r="C72" t="s">
        <v>131</v>
      </c>
      <c r="D72" t="s">
        <v>80</v>
      </c>
      <c r="E72">
        <v>50100</v>
      </c>
      <c r="F72">
        <v>2</v>
      </c>
      <c r="G72">
        <v>5</v>
      </c>
    </row>
    <row r="73" spans="1:7">
      <c r="A73" t="s">
        <v>144</v>
      </c>
      <c r="B73">
        <v>52</v>
      </c>
      <c r="C73" t="s">
        <v>131</v>
      </c>
      <c r="D73" t="s">
        <v>77</v>
      </c>
      <c r="E73">
        <v>60000</v>
      </c>
      <c r="F73">
        <v>6</v>
      </c>
      <c r="G73">
        <v>1</v>
      </c>
    </row>
    <row r="74" spans="1:7">
      <c r="A74" t="s">
        <v>145</v>
      </c>
      <c r="B74">
        <v>32</v>
      </c>
      <c r="C74" t="s">
        <v>131</v>
      </c>
      <c r="D74" t="s">
        <v>60</v>
      </c>
      <c r="E74">
        <v>49600</v>
      </c>
      <c r="F74">
        <v>5</v>
      </c>
      <c r="G74">
        <v>3</v>
      </c>
    </row>
    <row r="75" spans="1:7">
      <c r="A75" t="s">
        <v>146</v>
      </c>
      <c r="B75">
        <v>32</v>
      </c>
      <c r="C75" t="s">
        <v>131</v>
      </c>
      <c r="D75" t="s">
        <v>60</v>
      </c>
      <c r="E75">
        <v>44100</v>
      </c>
      <c r="F75">
        <v>4</v>
      </c>
      <c r="G75">
        <v>4</v>
      </c>
    </row>
    <row r="76" spans="1:7">
      <c r="A76" t="s">
        <v>147</v>
      </c>
      <c r="B76">
        <v>30</v>
      </c>
      <c r="C76" t="s">
        <v>131</v>
      </c>
      <c r="D76" t="s">
        <v>80</v>
      </c>
      <c r="E76">
        <v>42600</v>
      </c>
      <c r="F76">
        <v>15</v>
      </c>
      <c r="G76">
        <v>10</v>
      </c>
    </row>
    <row r="77" spans="1:7">
      <c r="A77" t="s">
        <v>148</v>
      </c>
      <c r="B77">
        <v>28</v>
      </c>
      <c r="C77" t="s">
        <v>131</v>
      </c>
      <c r="D77" t="s">
        <v>77</v>
      </c>
      <c r="E77">
        <v>30700</v>
      </c>
      <c r="F77">
        <v>3</v>
      </c>
      <c r="G77">
        <v>2</v>
      </c>
    </row>
    <row r="78" spans="1:7">
      <c r="A78" t="s">
        <v>149</v>
      </c>
      <c r="B78">
        <v>42</v>
      </c>
      <c r="C78" t="s">
        <v>131</v>
      </c>
      <c r="D78" t="s">
        <v>64</v>
      </c>
      <c r="E78">
        <v>44800</v>
      </c>
      <c r="F78">
        <v>3</v>
      </c>
      <c r="G78">
        <v>10</v>
      </c>
    </row>
    <row r="79" spans="1:7">
      <c r="A79" t="s">
        <v>150</v>
      </c>
      <c r="B79">
        <v>15</v>
      </c>
      <c r="C79" t="s">
        <v>131</v>
      </c>
      <c r="D79" t="s">
        <v>77</v>
      </c>
      <c r="E79">
        <v>31600</v>
      </c>
      <c r="F79">
        <v>2</v>
      </c>
      <c r="G79">
        <v>6</v>
      </c>
    </row>
    <row r="80" spans="1:7">
      <c r="A80" t="s">
        <v>151</v>
      </c>
      <c r="B80">
        <v>52</v>
      </c>
      <c r="C80" t="s">
        <v>131</v>
      </c>
      <c r="D80" t="s">
        <v>64</v>
      </c>
      <c r="E80">
        <v>28500</v>
      </c>
      <c r="F80">
        <v>16</v>
      </c>
      <c r="G80">
        <v>6</v>
      </c>
    </row>
    <row r="81" spans="1:7">
      <c r="A81" t="s">
        <v>153</v>
      </c>
      <c r="B81">
        <v>29</v>
      </c>
      <c r="C81" t="s">
        <v>131</v>
      </c>
      <c r="D81" t="s">
        <v>64</v>
      </c>
      <c r="E81">
        <v>39500</v>
      </c>
      <c r="F81">
        <v>19</v>
      </c>
      <c r="G81">
        <v>9</v>
      </c>
    </row>
    <row r="82" spans="1:7">
      <c r="A82" t="s">
        <v>154</v>
      </c>
      <c r="B82">
        <v>42</v>
      </c>
      <c r="C82" t="s">
        <v>131</v>
      </c>
      <c r="D82" t="s">
        <v>108</v>
      </c>
      <c r="E82">
        <v>63300</v>
      </c>
      <c r="F82">
        <v>5</v>
      </c>
      <c r="G82">
        <v>10</v>
      </c>
    </row>
    <row r="83" spans="1:7">
      <c r="A83" t="s">
        <v>155</v>
      </c>
      <c r="B83">
        <v>54</v>
      </c>
      <c r="C83" t="s">
        <v>131</v>
      </c>
      <c r="D83" t="s">
        <v>80</v>
      </c>
      <c r="E83">
        <v>47900</v>
      </c>
      <c r="F83">
        <v>8</v>
      </c>
      <c r="G83">
        <v>1</v>
      </c>
    </row>
    <row r="84" spans="1:7">
      <c r="A84" t="s">
        <v>137</v>
      </c>
      <c r="B84">
        <v>52</v>
      </c>
      <c r="C84" t="s">
        <v>131</v>
      </c>
      <c r="D84" t="s">
        <v>64</v>
      </c>
      <c r="E84">
        <v>34900</v>
      </c>
      <c r="F84">
        <v>9</v>
      </c>
      <c r="G84">
        <v>5</v>
      </c>
    </row>
    <row r="85" spans="1:7">
      <c r="A85" t="s">
        <v>156</v>
      </c>
      <c r="B85">
        <v>48</v>
      </c>
      <c r="C85" t="s">
        <v>131</v>
      </c>
      <c r="D85" t="s">
        <v>60</v>
      </c>
      <c r="E85">
        <v>57400</v>
      </c>
      <c r="F85">
        <v>1</v>
      </c>
      <c r="G85">
        <v>4</v>
      </c>
    </row>
    <row r="86" spans="1:7">
      <c r="A86" t="s">
        <v>157</v>
      </c>
      <c r="B86">
        <v>61</v>
      </c>
      <c r="C86" t="s">
        <v>131</v>
      </c>
      <c r="D86" t="s">
        <v>64</v>
      </c>
      <c r="E86">
        <v>19200</v>
      </c>
      <c r="F86">
        <v>6</v>
      </c>
      <c r="G86">
        <v>3</v>
      </c>
    </row>
    <row r="87" spans="1:7">
      <c r="A87" t="s">
        <v>158</v>
      </c>
      <c r="B87">
        <v>32</v>
      </c>
      <c r="C87" t="s">
        <v>131</v>
      </c>
      <c r="D87" t="s">
        <v>60</v>
      </c>
      <c r="E87">
        <v>49200</v>
      </c>
      <c r="F87">
        <v>6</v>
      </c>
      <c r="G87">
        <v>4</v>
      </c>
    </row>
    <row r="88" spans="1:7">
      <c r="A88" t="s">
        <v>159</v>
      </c>
      <c r="B88">
        <v>45</v>
      </c>
      <c r="C88" t="s">
        <v>131</v>
      </c>
      <c r="D88" t="s">
        <v>67</v>
      </c>
      <c r="E88">
        <v>27400</v>
      </c>
      <c r="F88">
        <v>11</v>
      </c>
      <c r="G88">
        <v>9</v>
      </c>
    </row>
    <row r="89" spans="1:7">
      <c r="A89" t="s">
        <v>160</v>
      </c>
      <c r="B89">
        <v>51</v>
      </c>
      <c r="C89" t="s">
        <v>131</v>
      </c>
      <c r="D89" t="s">
        <v>67</v>
      </c>
      <c r="E89">
        <v>33400</v>
      </c>
      <c r="F89">
        <v>6</v>
      </c>
      <c r="G89">
        <v>10</v>
      </c>
    </row>
    <row r="90" spans="1:7">
      <c r="A90" t="s">
        <v>161</v>
      </c>
      <c r="B90">
        <v>54</v>
      </c>
      <c r="C90" t="s">
        <v>131</v>
      </c>
      <c r="D90" t="s">
        <v>60</v>
      </c>
      <c r="E90">
        <v>40700</v>
      </c>
      <c r="F90">
        <v>10</v>
      </c>
      <c r="G90">
        <v>1</v>
      </c>
    </row>
    <row r="91" spans="1:7">
      <c r="A91" t="s">
        <v>162</v>
      </c>
      <c r="B91">
        <v>32</v>
      </c>
      <c r="C91" t="s">
        <v>131</v>
      </c>
      <c r="D91" t="s">
        <v>60</v>
      </c>
      <c r="E91">
        <v>42100</v>
      </c>
      <c r="F91">
        <v>2</v>
      </c>
      <c r="G91">
        <v>7</v>
      </c>
    </row>
    <row r="92" spans="1:7">
      <c r="A92" t="s">
        <v>163</v>
      </c>
      <c r="B92">
        <v>27</v>
      </c>
      <c r="C92" t="s">
        <v>131</v>
      </c>
      <c r="D92" t="s">
        <v>64</v>
      </c>
      <c r="E92">
        <v>40500</v>
      </c>
      <c r="F92">
        <v>3</v>
      </c>
      <c r="G92">
        <v>10</v>
      </c>
    </row>
    <row r="93" spans="1:7">
      <c r="A93" t="s">
        <v>164</v>
      </c>
      <c r="B93">
        <v>34</v>
      </c>
      <c r="C93" t="s">
        <v>131</v>
      </c>
      <c r="D93" t="s">
        <v>64</v>
      </c>
      <c r="E93">
        <v>35100</v>
      </c>
      <c r="F93">
        <v>6</v>
      </c>
      <c r="G93">
        <v>4</v>
      </c>
    </row>
    <row r="94" spans="1:7">
      <c r="A94" t="s">
        <v>165</v>
      </c>
      <c r="B94">
        <v>46</v>
      </c>
      <c r="C94" t="s">
        <v>131</v>
      </c>
      <c r="D94" t="s">
        <v>92</v>
      </c>
      <c r="E94">
        <v>22100</v>
      </c>
      <c r="F94">
        <v>2</v>
      </c>
      <c r="G94">
        <v>5</v>
      </c>
    </row>
    <row r="95" spans="1:7">
      <c r="A95" t="s">
        <v>166</v>
      </c>
      <c r="B95">
        <v>40</v>
      </c>
      <c r="C95" t="s">
        <v>131</v>
      </c>
      <c r="D95" t="s">
        <v>67</v>
      </c>
      <c r="E95">
        <v>23000</v>
      </c>
      <c r="F95">
        <v>4</v>
      </c>
      <c r="G95">
        <v>5</v>
      </c>
    </row>
    <row r="96" spans="1:7">
      <c r="A96" t="s">
        <v>167</v>
      </c>
      <c r="B96">
        <v>43</v>
      </c>
      <c r="C96" t="s">
        <v>131</v>
      </c>
      <c r="D96" t="s">
        <v>60</v>
      </c>
      <c r="E96">
        <v>54000</v>
      </c>
      <c r="F96">
        <v>3</v>
      </c>
      <c r="G96">
        <v>7</v>
      </c>
    </row>
    <row r="97" spans="1:7">
      <c r="A97" t="s">
        <v>168</v>
      </c>
      <c r="B97">
        <v>46</v>
      </c>
      <c r="C97" t="s">
        <v>131</v>
      </c>
      <c r="D97" t="s">
        <v>60</v>
      </c>
      <c r="E97">
        <v>48500</v>
      </c>
      <c r="F97">
        <v>1</v>
      </c>
      <c r="G97">
        <v>4</v>
      </c>
    </row>
    <row r="98" spans="1:7">
      <c r="A98" t="s">
        <v>169</v>
      </c>
      <c r="B98">
        <v>38</v>
      </c>
      <c r="C98" t="s">
        <v>170</v>
      </c>
      <c r="D98" t="s">
        <v>80</v>
      </c>
      <c r="E98">
        <v>55100</v>
      </c>
      <c r="F98">
        <v>3</v>
      </c>
      <c r="G98">
        <v>9</v>
      </c>
    </row>
    <row r="99" spans="1:7">
      <c r="A99" t="s">
        <v>171</v>
      </c>
      <c r="B99">
        <v>45</v>
      </c>
      <c r="C99" t="s">
        <v>170</v>
      </c>
      <c r="D99" t="s">
        <v>92</v>
      </c>
      <c r="E99">
        <v>23700</v>
      </c>
      <c r="F99">
        <v>8</v>
      </c>
      <c r="G99">
        <v>9</v>
      </c>
    </row>
    <row r="100" spans="1:7">
      <c r="A100" t="s">
        <v>172</v>
      </c>
      <c r="B100">
        <v>51</v>
      </c>
      <c r="C100" t="s">
        <v>170</v>
      </c>
      <c r="D100" t="s">
        <v>60</v>
      </c>
      <c r="E100">
        <v>85340</v>
      </c>
      <c r="F100">
        <v>11</v>
      </c>
      <c r="G100">
        <v>4</v>
      </c>
    </row>
    <row r="101" spans="1:7">
      <c r="A101" t="s">
        <v>173</v>
      </c>
      <c r="B101">
        <v>42</v>
      </c>
      <c r="C101" t="s">
        <v>170</v>
      </c>
      <c r="D101" t="s">
        <v>60</v>
      </c>
      <c r="E101">
        <v>34600</v>
      </c>
      <c r="F101">
        <v>3</v>
      </c>
      <c r="G101">
        <v>5</v>
      </c>
    </row>
    <row r="102" spans="1:7">
      <c r="A102" t="s">
        <v>174</v>
      </c>
      <c r="B102">
        <v>35</v>
      </c>
      <c r="C102" t="s">
        <v>170</v>
      </c>
      <c r="D102" t="s">
        <v>77</v>
      </c>
      <c r="E102">
        <v>51300</v>
      </c>
      <c r="F102">
        <v>1</v>
      </c>
      <c r="G102">
        <v>7</v>
      </c>
    </row>
  </sheetData>
  <mergeCells count="2">
    <mergeCell ref="J11:K11"/>
    <mergeCell ref="J12:K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510F-375E-4A4A-862D-DB246A5779E7}">
  <dimension ref="A1:X102"/>
  <sheetViews>
    <sheetView topLeftCell="J1" workbookViewId="0">
      <selection activeCell="T3" sqref="T3:X10"/>
    </sheetView>
  </sheetViews>
  <sheetFormatPr defaultColWidth="8.85546875" defaultRowHeight="14.45"/>
  <cols>
    <col min="1" max="1" width="18.28515625" bestFit="1" customWidth="1"/>
    <col min="2" max="2" width="4.28515625" bestFit="1" customWidth="1"/>
    <col min="3" max="3" width="7.42578125" bestFit="1" customWidth="1"/>
    <col min="4" max="4" width="32.42578125" bestFit="1" customWidth="1"/>
    <col min="5" max="5" width="9.28515625" bestFit="1" customWidth="1"/>
    <col min="6" max="6" width="16.5703125" bestFit="1" customWidth="1"/>
    <col min="7" max="7" width="17.85546875" bestFit="1" customWidth="1"/>
    <col min="10" max="10" width="16.5703125" customWidth="1"/>
    <col min="11" max="11" width="15.140625" customWidth="1"/>
    <col min="12" max="18" width="16.5703125" customWidth="1"/>
  </cols>
  <sheetData>
    <row r="1" spans="1:24" ht="15" thickBot="1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</row>
    <row r="2" spans="1:24" ht="15">
      <c r="A2" t="s">
        <v>58</v>
      </c>
      <c r="B2">
        <v>38</v>
      </c>
      <c r="C2" t="s">
        <v>59</v>
      </c>
      <c r="D2" t="s">
        <v>60</v>
      </c>
      <c r="E2">
        <v>32600</v>
      </c>
      <c r="F2">
        <v>9</v>
      </c>
      <c r="G2">
        <v>4</v>
      </c>
      <c r="T2" s="29" t="s">
        <v>57</v>
      </c>
      <c r="U2" s="30"/>
    </row>
    <row r="3" spans="1:24" ht="14.45" customHeight="1">
      <c r="A3" t="s">
        <v>62</v>
      </c>
      <c r="B3">
        <v>35</v>
      </c>
      <c r="C3" t="s">
        <v>59</v>
      </c>
      <c r="D3" t="s">
        <v>60</v>
      </c>
      <c r="E3">
        <v>51000</v>
      </c>
      <c r="F3">
        <v>10</v>
      </c>
      <c r="G3">
        <v>8</v>
      </c>
      <c r="J3" s="21" t="s">
        <v>286</v>
      </c>
      <c r="T3" s="31" t="s">
        <v>61</v>
      </c>
      <c r="U3" s="32"/>
      <c r="V3" s="32"/>
      <c r="W3" s="32"/>
      <c r="X3" s="33"/>
    </row>
    <row r="4" spans="1:24" ht="14.45" customHeight="1">
      <c r="A4" t="s">
        <v>63</v>
      </c>
      <c r="B4">
        <v>40</v>
      </c>
      <c r="C4" t="s">
        <v>59</v>
      </c>
      <c r="D4" t="s">
        <v>64</v>
      </c>
      <c r="E4">
        <v>27800</v>
      </c>
      <c r="F4">
        <v>0</v>
      </c>
      <c r="G4">
        <v>4</v>
      </c>
      <c r="T4" s="34"/>
      <c r="U4" s="35"/>
      <c r="V4" s="35"/>
      <c r="W4" s="35"/>
      <c r="X4" s="36"/>
    </row>
    <row r="5" spans="1:24" ht="29.1" customHeight="1">
      <c r="A5" t="s">
        <v>65</v>
      </c>
      <c r="B5">
        <v>43</v>
      </c>
      <c r="C5" t="s">
        <v>59</v>
      </c>
      <c r="D5" t="s">
        <v>64</v>
      </c>
      <c r="E5">
        <v>28700</v>
      </c>
      <c r="F5">
        <v>14</v>
      </c>
      <c r="G5">
        <v>9</v>
      </c>
      <c r="K5" s="18" t="s">
        <v>56</v>
      </c>
      <c r="L5" s="18" t="s">
        <v>287</v>
      </c>
      <c r="M5" s="18" t="s">
        <v>47</v>
      </c>
      <c r="T5" s="34"/>
      <c r="U5" s="35"/>
      <c r="V5" s="35"/>
      <c r="W5" s="35"/>
      <c r="X5" s="36"/>
    </row>
    <row r="6" spans="1:24" ht="43.5">
      <c r="A6" t="s">
        <v>66</v>
      </c>
      <c r="B6">
        <v>62</v>
      </c>
      <c r="C6" t="s">
        <v>59</v>
      </c>
      <c r="D6" t="s">
        <v>67</v>
      </c>
      <c r="E6">
        <v>15500</v>
      </c>
      <c r="F6">
        <v>17</v>
      </c>
      <c r="G6">
        <v>3</v>
      </c>
      <c r="J6" t="s">
        <v>142</v>
      </c>
      <c r="K6" s="22" t="str">
        <f>VLOOKUP($J6,$A$1:$G$102,4,FALSE)</f>
        <v>Engineering &amp; Product Development</v>
      </c>
      <c r="L6" s="22">
        <f>VLOOKUP($J6,$A$1:$G$102,5,FALSE)</f>
        <v>38900</v>
      </c>
      <c r="M6" s="22">
        <f>VLOOKUP($J6,$A$1:$G$102,7,FALSE)</f>
        <v>3</v>
      </c>
      <c r="N6" s="17"/>
      <c r="T6" s="34"/>
      <c r="U6" s="35"/>
      <c r="V6" s="35"/>
      <c r="W6" s="35"/>
      <c r="X6" s="36"/>
    </row>
    <row r="7" spans="1:24" ht="43.5">
      <c r="A7" t="s">
        <v>68</v>
      </c>
      <c r="B7">
        <v>49</v>
      </c>
      <c r="C7" t="s">
        <v>59</v>
      </c>
      <c r="D7" t="s">
        <v>60</v>
      </c>
      <c r="E7">
        <v>25200</v>
      </c>
      <c r="F7">
        <v>3</v>
      </c>
      <c r="G7">
        <v>8</v>
      </c>
      <c r="J7" t="s">
        <v>116</v>
      </c>
      <c r="K7" s="22" t="str">
        <f t="shared" ref="K7:K10" si="0">VLOOKUP($J7,$A$1:$G$102,4,FALSE)</f>
        <v>Engineering &amp; Product Development</v>
      </c>
      <c r="L7" s="22">
        <f t="shared" ref="L7:L10" si="1">VLOOKUP($J7,$A$1:$G$102,5,FALSE)</f>
        <v>34200</v>
      </c>
      <c r="M7" s="22">
        <f t="shared" ref="M7:M10" si="2">VLOOKUP($J7,$A$1:$G$102,7,FALSE)</f>
        <v>6</v>
      </c>
      <c r="N7" s="17"/>
      <c r="T7" s="34"/>
      <c r="U7" s="35"/>
      <c r="V7" s="35"/>
      <c r="W7" s="35"/>
      <c r="X7" s="36"/>
    </row>
    <row r="8" spans="1:24" ht="29.25">
      <c r="A8" t="s">
        <v>70</v>
      </c>
      <c r="B8">
        <v>52</v>
      </c>
      <c r="C8" t="s">
        <v>59</v>
      </c>
      <c r="D8" t="s">
        <v>64</v>
      </c>
      <c r="E8">
        <v>39100</v>
      </c>
      <c r="F8">
        <v>2</v>
      </c>
      <c r="G8">
        <v>7</v>
      </c>
      <c r="J8" t="s">
        <v>165</v>
      </c>
      <c r="K8" s="22" t="str">
        <f t="shared" si="0"/>
        <v>Customer Support</v>
      </c>
      <c r="L8" s="22">
        <f t="shared" si="1"/>
        <v>22100</v>
      </c>
      <c r="M8" s="22">
        <f t="shared" si="2"/>
        <v>5</v>
      </c>
      <c r="N8" s="17"/>
      <c r="T8" s="34"/>
      <c r="U8" s="35"/>
      <c r="V8" s="35"/>
      <c r="W8" s="35"/>
      <c r="X8" s="36"/>
    </row>
    <row r="9" spans="1:24" ht="29.25">
      <c r="A9" t="s">
        <v>71</v>
      </c>
      <c r="B9">
        <v>56</v>
      </c>
      <c r="C9" t="s">
        <v>59</v>
      </c>
      <c r="D9" t="s">
        <v>64</v>
      </c>
      <c r="E9">
        <v>35600</v>
      </c>
      <c r="F9">
        <v>4</v>
      </c>
      <c r="G9">
        <v>4</v>
      </c>
      <c r="J9" t="s">
        <v>150</v>
      </c>
      <c r="K9" s="22" t="str">
        <f t="shared" si="0"/>
        <v>IT &amp; Infrastructure</v>
      </c>
      <c r="L9" s="22">
        <f t="shared" si="1"/>
        <v>31600</v>
      </c>
      <c r="M9" s="22">
        <f t="shared" si="2"/>
        <v>6</v>
      </c>
      <c r="N9" s="17"/>
      <c r="T9" s="34"/>
      <c r="U9" s="35"/>
      <c r="V9" s="35"/>
      <c r="W9" s="35"/>
      <c r="X9" s="36"/>
    </row>
    <row r="10" spans="1:24" ht="29.25">
      <c r="A10" t="s">
        <v>73</v>
      </c>
      <c r="B10">
        <v>35</v>
      </c>
      <c r="C10" t="s">
        <v>59</v>
      </c>
      <c r="D10" t="s">
        <v>60</v>
      </c>
      <c r="E10">
        <v>51400</v>
      </c>
      <c r="F10">
        <v>3</v>
      </c>
      <c r="G10">
        <v>5</v>
      </c>
      <c r="J10" t="s">
        <v>70</v>
      </c>
      <c r="K10" s="22" t="str">
        <f t="shared" si="0"/>
        <v>Sales &amp; Marketing</v>
      </c>
      <c r="L10" s="22">
        <f t="shared" si="1"/>
        <v>39100</v>
      </c>
      <c r="M10" s="22">
        <f t="shared" si="2"/>
        <v>7</v>
      </c>
      <c r="N10" s="17"/>
      <c r="T10" s="37"/>
      <c r="U10" s="38"/>
      <c r="V10" s="38"/>
      <c r="W10" s="38"/>
      <c r="X10" s="39"/>
    </row>
    <row r="11" spans="1:24" ht="15">
      <c r="A11" t="s">
        <v>74</v>
      </c>
      <c r="B11">
        <v>33</v>
      </c>
      <c r="C11" t="s">
        <v>59</v>
      </c>
      <c r="D11" t="s">
        <v>60</v>
      </c>
      <c r="E11">
        <v>43300</v>
      </c>
      <c r="F11">
        <v>6</v>
      </c>
      <c r="G11">
        <v>2</v>
      </c>
      <c r="K11" s="17"/>
      <c r="L11" s="17"/>
      <c r="M11" s="17"/>
      <c r="N11" s="17"/>
    </row>
    <row r="12" spans="1:24">
      <c r="A12" t="s">
        <v>75</v>
      </c>
      <c r="B12">
        <v>55</v>
      </c>
      <c r="C12" t="s">
        <v>59</v>
      </c>
      <c r="D12" t="s">
        <v>60</v>
      </c>
      <c r="E12">
        <v>46100</v>
      </c>
      <c r="F12">
        <v>3</v>
      </c>
      <c r="G12">
        <v>10</v>
      </c>
    </row>
    <row r="13" spans="1:24">
      <c r="A13" t="s">
        <v>76</v>
      </c>
      <c r="B13">
        <v>34</v>
      </c>
      <c r="C13" t="s">
        <v>59</v>
      </c>
      <c r="D13" t="s">
        <v>77</v>
      </c>
      <c r="E13">
        <v>41100</v>
      </c>
      <c r="F13">
        <v>4</v>
      </c>
      <c r="G13">
        <v>1</v>
      </c>
    </row>
    <row r="14" spans="1:24">
      <c r="A14" t="s">
        <v>78</v>
      </c>
      <c r="B14">
        <v>40</v>
      </c>
      <c r="C14" t="s">
        <v>59</v>
      </c>
      <c r="D14" t="s">
        <v>60</v>
      </c>
      <c r="E14">
        <v>37500</v>
      </c>
      <c r="F14">
        <v>7</v>
      </c>
      <c r="G14">
        <v>1</v>
      </c>
    </row>
    <row r="15" spans="1:24">
      <c r="A15" t="s">
        <v>79</v>
      </c>
      <c r="B15">
        <v>34</v>
      </c>
      <c r="C15" t="s">
        <v>59</v>
      </c>
      <c r="D15" t="s">
        <v>80</v>
      </c>
      <c r="E15">
        <v>41000</v>
      </c>
      <c r="F15">
        <v>3</v>
      </c>
      <c r="G15">
        <v>2</v>
      </c>
      <c r="J15" s="21" t="s">
        <v>288</v>
      </c>
    </row>
    <row r="16" spans="1:24">
      <c r="A16" t="s">
        <v>81</v>
      </c>
      <c r="B16">
        <v>56</v>
      </c>
      <c r="C16" t="s">
        <v>59</v>
      </c>
      <c r="D16" t="s">
        <v>60</v>
      </c>
      <c r="E16">
        <v>48000</v>
      </c>
      <c r="F16">
        <v>6</v>
      </c>
      <c r="G16">
        <v>8</v>
      </c>
    </row>
    <row r="17" spans="1:18">
      <c r="A17" t="s">
        <v>82</v>
      </c>
      <c r="B17">
        <v>35</v>
      </c>
      <c r="C17" t="s">
        <v>59</v>
      </c>
      <c r="D17" t="s">
        <v>60</v>
      </c>
      <c r="E17">
        <v>64100</v>
      </c>
      <c r="F17">
        <v>1</v>
      </c>
      <c r="G17">
        <v>8</v>
      </c>
      <c r="J17" s="12" t="s">
        <v>289</v>
      </c>
      <c r="K17" s="19" t="s">
        <v>290</v>
      </c>
      <c r="L17" s="19" t="s">
        <v>291</v>
      </c>
      <c r="M17" s="19" t="s">
        <v>290</v>
      </c>
      <c r="N17" s="19" t="s">
        <v>291</v>
      </c>
      <c r="O17" s="19" t="s">
        <v>290</v>
      </c>
      <c r="P17" s="19" t="s">
        <v>291</v>
      </c>
    </row>
    <row r="18" spans="1:18" ht="15">
      <c r="A18" t="s">
        <v>83</v>
      </c>
      <c r="B18">
        <v>43</v>
      </c>
      <c r="C18" t="s">
        <v>59</v>
      </c>
      <c r="D18" t="s">
        <v>80</v>
      </c>
      <c r="E18">
        <v>56400</v>
      </c>
      <c r="F18">
        <v>11</v>
      </c>
      <c r="G18">
        <v>1</v>
      </c>
      <c r="J18" t="s">
        <v>292</v>
      </c>
      <c r="K18" s="7" t="s">
        <v>293</v>
      </c>
      <c r="L18" s="22" t="str">
        <f>HLOOKUP(K18,GCSEGradesTable[#All], VALUE(RIGHT($J18,2))+1,FALSE)</f>
        <v>G</v>
      </c>
      <c r="M18" s="7" t="s">
        <v>294</v>
      </c>
      <c r="N18" s="22" t="str">
        <f>HLOOKUP(M18,GCSEGradesTable[#All], VALUE(RIGHT($J18,2))+1,FALSE)</f>
        <v>A</v>
      </c>
      <c r="O18" s="7" t="s">
        <v>295</v>
      </c>
      <c r="P18" s="22" t="str">
        <f>HLOOKUP(O18,GCSEGradesTable[#All], VALUE(RIGHT($J18,2))+1,FALSE)</f>
        <v>B</v>
      </c>
    </row>
    <row r="19" spans="1:18" ht="15">
      <c r="A19" t="s">
        <v>84</v>
      </c>
      <c r="B19">
        <v>31</v>
      </c>
      <c r="C19" t="s">
        <v>59</v>
      </c>
      <c r="D19" t="s">
        <v>60</v>
      </c>
      <c r="E19">
        <v>37000</v>
      </c>
      <c r="F19">
        <v>31</v>
      </c>
      <c r="G19">
        <v>8</v>
      </c>
      <c r="J19" t="s">
        <v>296</v>
      </c>
      <c r="K19" s="7" t="s">
        <v>297</v>
      </c>
      <c r="L19" s="22" t="str">
        <f>HLOOKUP(K19,GCSEGradesTable[#All], VALUE(RIGHT($J19,2))+1,FALSE)</f>
        <v>F</v>
      </c>
      <c r="M19" s="7" t="s">
        <v>298</v>
      </c>
      <c r="N19" s="22" t="str">
        <f>HLOOKUP(M19,GCSEGradesTable[#All], VALUE(RIGHT($J19,2))+1,FALSE)</f>
        <v>E</v>
      </c>
      <c r="O19" s="7" t="s">
        <v>299</v>
      </c>
      <c r="P19" s="22" t="str">
        <f>HLOOKUP(O19,GCSEGradesTable[#All], VALUE(RIGHT($J19,2))+1,FALSE)</f>
        <v>F</v>
      </c>
    </row>
    <row r="20" spans="1:18" ht="15">
      <c r="A20" t="s">
        <v>85</v>
      </c>
      <c r="B20">
        <v>37</v>
      </c>
      <c r="C20" t="s">
        <v>59</v>
      </c>
      <c r="D20" t="s">
        <v>60</v>
      </c>
      <c r="E20">
        <v>44300</v>
      </c>
      <c r="F20">
        <v>10</v>
      </c>
      <c r="G20">
        <v>3</v>
      </c>
      <c r="J20" t="s">
        <v>300</v>
      </c>
      <c r="K20" s="7" t="s">
        <v>301</v>
      </c>
      <c r="L20" s="22" t="str">
        <f>HLOOKUP(K20,GCSEGradesTable[#All], VALUE(RIGHT($J20,2))+1,FALSE)</f>
        <v>C</v>
      </c>
      <c r="M20" s="7" t="s">
        <v>302</v>
      </c>
      <c r="N20" s="22" t="str">
        <f>HLOOKUP(M20,GCSEGradesTable[#All], VALUE(RIGHT($J20,2))+1,FALSE)</f>
        <v>C</v>
      </c>
      <c r="O20" s="7" t="s">
        <v>295</v>
      </c>
      <c r="P20" s="22" t="str">
        <f>HLOOKUP(O20,GCSEGradesTable[#All], VALUE(RIGHT($J20,2))+1,FALSE)</f>
        <v>D</v>
      </c>
    </row>
    <row r="21" spans="1:18" ht="15">
      <c r="A21" t="s">
        <v>86</v>
      </c>
      <c r="B21">
        <v>29</v>
      </c>
      <c r="C21" t="s">
        <v>59</v>
      </c>
      <c r="D21" t="s">
        <v>60</v>
      </c>
      <c r="E21">
        <v>28000</v>
      </c>
      <c r="F21">
        <v>5</v>
      </c>
      <c r="G21">
        <v>8</v>
      </c>
      <c r="J21" t="s">
        <v>303</v>
      </c>
      <c r="K21" s="7" t="s">
        <v>299</v>
      </c>
      <c r="L21" s="22" t="str">
        <f>HLOOKUP(K21,GCSEGradesTable[#All], VALUE(RIGHT($J21,2))+1,FALSE)</f>
        <v>G</v>
      </c>
      <c r="M21" s="7" t="s">
        <v>298</v>
      </c>
      <c r="N21" s="22" t="str">
        <f>HLOOKUP(M21,GCSEGradesTable[#All], VALUE(RIGHT($J21,2))+1,FALSE)</f>
        <v>B</v>
      </c>
      <c r="O21" s="7" t="s">
        <v>301</v>
      </c>
      <c r="P21" s="22" t="str">
        <f>HLOOKUP(O21,GCSEGradesTable[#All], VALUE(RIGHT($J21,2))+1,FALSE)</f>
        <v>F</v>
      </c>
    </row>
    <row r="22" spans="1:18">
      <c r="A22" t="s">
        <v>87</v>
      </c>
      <c r="B22">
        <v>60</v>
      </c>
      <c r="C22" t="s">
        <v>59</v>
      </c>
      <c r="D22" t="s">
        <v>60</v>
      </c>
      <c r="E22">
        <v>38200</v>
      </c>
      <c r="F22">
        <v>6</v>
      </c>
      <c r="G22">
        <v>3</v>
      </c>
    </row>
    <row r="23" spans="1:18">
      <c r="A23" t="s">
        <v>88</v>
      </c>
      <c r="B23">
        <v>51</v>
      </c>
      <c r="C23" t="s">
        <v>59</v>
      </c>
      <c r="D23" t="s">
        <v>60</v>
      </c>
      <c r="E23">
        <v>47200</v>
      </c>
      <c r="F23">
        <v>5</v>
      </c>
      <c r="G23">
        <v>8</v>
      </c>
      <c r="J23" t="s">
        <v>54</v>
      </c>
      <c r="K23" s="7" t="s">
        <v>297</v>
      </c>
      <c r="L23" s="7" t="s">
        <v>301</v>
      </c>
      <c r="M23" s="7" t="s">
        <v>293</v>
      </c>
      <c r="N23" s="7" t="s">
        <v>298</v>
      </c>
      <c r="O23" s="7" t="s">
        <v>294</v>
      </c>
      <c r="P23" s="7" t="s">
        <v>295</v>
      </c>
      <c r="Q23" s="7" t="s">
        <v>299</v>
      </c>
      <c r="R23" s="7" t="s">
        <v>302</v>
      </c>
    </row>
    <row r="24" spans="1:18">
      <c r="A24" t="s">
        <v>90</v>
      </c>
      <c r="B24">
        <v>46</v>
      </c>
      <c r="C24" t="s">
        <v>59</v>
      </c>
      <c r="D24" t="s">
        <v>64</v>
      </c>
      <c r="E24">
        <v>31500</v>
      </c>
      <c r="F24">
        <v>2</v>
      </c>
      <c r="G24">
        <v>1</v>
      </c>
      <c r="J24" t="s">
        <v>304</v>
      </c>
      <c r="K24" s="7" t="s">
        <v>305</v>
      </c>
      <c r="L24" s="7" t="s">
        <v>306</v>
      </c>
      <c r="M24" s="7" t="s">
        <v>305</v>
      </c>
      <c r="N24" s="7" t="s">
        <v>306</v>
      </c>
      <c r="O24" s="7" t="s">
        <v>305</v>
      </c>
      <c r="P24" s="7" t="s">
        <v>307</v>
      </c>
      <c r="Q24" s="7" t="s">
        <v>308</v>
      </c>
      <c r="R24" s="7" t="s">
        <v>309</v>
      </c>
    </row>
    <row r="25" spans="1:18">
      <c r="A25" t="s">
        <v>91</v>
      </c>
      <c r="B25">
        <v>42</v>
      </c>
      <c r="C25" t="s">
        <v>59</v>
      </c>
      <c r="D25" t="s">
        <v>92</v>
      </c>
      <c r="E25">
        <v>24200</v>
      </c>
      <c r="F25">
        <v>4</v>
      </c>
      <c r="G25">
        <v>8</v>
      </c>
      <c r="J25" t="s">
        <v>310</v>
      </c>
      <c r="K25" s="7" t="s">
        <v>311</v>
      </c>
      <c r="L25" s="7" t="s">
        <v>131</v>
      </c>
      <c r="M25" s="7" t="s">
        <v>312</v>
      </c>
      <c r="N25" s="7" t="s">
        <v>312</v>
      </c>
      <c r="O25" s="7" t="s">
        <v>313</v>
      </c>
      <c r="P25" s="7" t="s">
        <v>313</v>
      </c>
      <c r="Q25" s="7" t="s">
        <v>312</v>
      </c>
      <c r="R25" s="7" t="s">
        <v>307</v>
      </c>
    </row>
    <row r="26" spans="1:18">
      <c r="A26" t="s">
        <v>93</v>
      </c>
      <c r="B26">
        <v>43</v>
      </c>
      <c r="C26" t="s">
        <v>59</v>
      </c>
      <c r="D26" t="s">
        <v>60</v>
      </c>
      <c r="E26">
        <v>55100</v>
      </c>
      <c r="F26">
        <v>10</v>
      </c>
      <c r="G26">
        <v>1</v>
      </c>
      <c r="J26" t="s">
        <v>314</v>
      </c>
      <c r="K26" s="7" t="s">
        <v>131</v>
      </c>
      <c r="L26" s="7" t="s">
        <v>131</v>
      </c>
      <c r="M26" s="7" t="s">
        <v>313</v>
      </c>
      <c r="N26" s="7" t="s">
        <v>312</v>
      </c>
      <c r="O26" s="7" t="s">
        <v>312</v>
      </c>
      <c r="P26" s="7" t="s">
        <v>307</v>
      </c>
      <c r="Q26" s="7" t="s">
        <v>307</v>
      </c>
      <c r="R26" s="7" t="s">
        <v>311</v>
      </c>
    </row>
    <row r="27" spans="1:18">
      <c r="A27" t="s">
        <v>94</v>
      </c>
      <c r="B27">
        <v>54</v>
      </c>
      <c r="C27" t="s">
        <v>59</v>
      </c>
      <c r="D27" t="s">
        <v>77</v>
      </c>
      <c r="E27">
        <v>37600</v>
      </c>
      <c r="F27">
        <v>15</v>
      </c>
      <c r="G27">
        <v>6</v>
      </c>
      <c r="J27" t="s">
        <v>315</v>
      </c>
      <c r="K27" s="7" t="s">
        <v>313</v>
      </c>
      <c r="L27" s="7" t="s">
        <v>309</v>
      </c>
      <c r="M27" s="7" t="s">
        <v>307</v>
      </c>
      <c r="N27" s="7" t="s">
        <v>307</v>
      </c>
      <c r="O27" s="7" t="s">
        <v>305</v>
      </c>
      <c r="P27" s="7" t="s">
        <v>309</v>
      </c>
      <c r="Q27" s="7" t="s">
        <v>305</v>
      </c>
      <c r="R27" s="7" t="s">
        <v>313</v>
      </c>
    </row>
    <row r="28" spans="1:18">
      <c r="A28" t="s">
        <v>95</v>
      </c>
      <c r="B28">
        <v>48</v>
      </c>
      <c r="C28" t="s">
        <v>59</v>
      </c>
      <c r="D28" t="s">
        <v>92</v>
      </c>
      <c r="E28">
        <v>27100</v>
      </c>
      <c r="F28">
        <v>2</v>
      </c>
      <c r="G28">
        <v>3</v>
      </c>
      <c r="J28" t="s">
        <v>303</v>
      </c>
      <c r="K28" s="7" t="s">
        <v>311</v>
      </c>
      <c r="L28" s="7" t="s">
        <v>131</v>
      </c>
      <c r="M28" s="7" t="s">
        <v>309</v>
      </c>
      <c r="N28" s="7" t="s">
        <v>308</v>
      </c>
      <c r="O28" s="7" t="s">
        <v>308</v>
      </c>
      <c r="P28" s="7" t="s">
        <v>309</v>
      </c>
      <c r="Q28" s="7" t="s">
        <v>306</v>
      </c>
      <c r="R28" s="7" t="s">
        <v>308</v>
      </c>
    </row>
    <row r="29" spans="1:18">
      <c r="A29" t="s">
        <v>96</v>
      </c>
      <c r="B29">
        <v>52</v>
      </c>
      <c r="C29" t="s">
        <v>59</v>
      </c>
      <c r="D29" t="s">
        <v>64</v>
      </c>
      <c r="E29">
        <v>45400</v>
      </c>
      <c r="F29">
        <v>2</v>
      </c>
      <c r="G29">
        <v>2</v>
      </c>
      <c r="J29" t="s">
        <v>316</v>
      </c>
      <c r="K29" s="7" t="s">
        <v>309</v>
      </c>
      <c r="L29" s="7" t="s">
        <v>307</v>
      </c>
      <c r="M29" s="7" t="s">
        <v>131</v>
      </c>
      <c r="N29" s="7" t="s">
        <v>305</v>
      </c>
      <c r="O29" s="7" t="s">
        <v>311</v>
      </c>
      <c r="P29" s="7" t="s">
        <v>308</v>
      </c>
      <c r="Q29" s="7" t="s">
        <v>305</v>
      </c>
      <c r="R29" s="7" t="s">
        <v>312</v>
      </c>
    </row>
    <row r="30" spans="1:18">
      <c r="A30" t="s">
        <v>97</v>
      </c>
      <c r="B30">
        <v>42</v>
      </c>
      <c r="C30" t="s">
        <v>59</v>
      </c>
      <c r="D30" t="s">
        <v>60</v>
      </c>
      <c r="E30">
        <v>50800</v>
      </c>
      <c r="F30">
        <v>6</v>
      </c>
      <c r="G30">
        <v>8</v>
      </c>
      <c r="J30" t="s">
        <v>317</v>
      </c>
      <c r="K30" s="7" t="s">
        <v>308</v>
      </c>
      <c r="L30" s="7" t="s">
        <v>311</v>
      </c>
      <c r="M30" s="7" t="s">
        <v>308</v>
      </c>
      <c r="N30" s="7" t="s">
        <v>313</v>
      </c>
      <c r="O30" s="7" t="s">
        <v>306</v>
      </c>
      <c r="P30" s="7" t="s">
        <v>305</v>
      </c>
      <c r="Q30" s="7" t="s">
        <v>311</v>
      </c>
      <c r="R30" s="7" t="s">
        <v>313</v>
      </c>
    </row>
    <row r="31" spans="1:18">
      <c r="A31" t="s">
        <v>98</v>
      </c>
      <c r="B31">
        <v>39</v>
      </c>
      <c r="C31" t="s">
        <v>59</v>
      </c>
      <c r="D31" t="s">
        <v>64</v>
      </c>
      <c r="E31">
        <v>31000</v>
      </c>
      <c r="F31">
        <v>44</v>
      </c>
      <c r="G31">
        <v>6</v>
      </c>
      <c r="J31" t="s">
        <v>318</v>
      </c>
      <c r="K31" s="7" t="s">
        <v>131</v>
      </c>
      <c r="L31" s="7" t="s">
        <v>307</v>
      </c>
      <c r="M31" s="7" t="s">
        <v>311</v>
      </c>
      <c r="N31" s="7" t="s">
        <v>131</v>
      </c>
      <c r="O31" s="7" t="s">
        <v>305</v>
      </c>
      <c r="P31" s="7" t="s">
        <v>312</v>
      </c>
      <c r="Q31" s="7" t="s">
        <v>305</v>
      </c>
      <c r="R31" s="7" t="s">
        <v>308</v>
      </c>
    </row>
    <row r="32" spans="1:18">
      <c r="A32" t="s">
        <v>99</v>
      </c>
      <c r="B32">
        <v>42</v>
      </c>
      <c r="C32" t="s">
        <v>59</v>
      </c>
      <c r="D32" t="s">
        <v>92</v>
      </c>
      <c r="E32">
        <v>23000</v>
      </c>
      <c r="F32">
        <v>3</v>
      </c>
      <c r="G32">
        <v>10</v>
      </c>
      <c r="J32" t="s">
        <v>319</v>
      </c>
      <c r="K32" s="7" t="s">
        <v>311</v>
      </c>
      <c r="L32" s="7" t="s">
        <v>309</v>
      </c>
      <c r="M32" s="7" t="s">
        <v>309</v>
      </c>
      <c r="N32" s="7" t="s">
        <v>311</v>
      </c>
      <c r="O32" s="7" t="s">
        <v>131</v>
      </c>
      <c r="P32" s="7" t="s">
        <v>309</v>
      </c>
      <c r="Q32" s="7" t="s">
        <v>307</v>
      </c>
      <c r="R32" s="7" t="s">
        <v>307</v>
      </c>
    </row>
    <row r="33" spans="1:18">
      <c r="A33" t="s">
        <v>100</v>
      </c>
      <c r="B33">
        <v>46</v>
      </c>
      <c r="C33" t="s">
        <v>59</v>
      </c>
      <c r="D33" t="s">
        <v>60</v>
      </c>
      <c r="E33">
        <v>53200</v>
      </c>
      <c r="F33">
        <v>11</v>
      </c>
      <c r="G33">
        <v>11</v>
      </c>
      <c r="J33" t="s">
        <v>320</v>
      </c>
      <c r="K33" s="7" t="s">
        <v>313</v>
      </c>
      <c r="L33" s="7" t="s">
        <v>313</v>
      </c>
      <c r="M33" s="7" t="s">
        <v>305</v>
      </c>
      <c r="N33" s="7" t="s">
        <v>305</v>
      </c>
      <c r="O33" s="7" t="s">
        <v>306</v>
      </c>
      <c r="P33" s="7" t="s">
        <v>313</v>
      </c>
      <c r="Q33" s="7" t="s">
        <v>307</v>
      </c>
      <c r="R33" s="7" t="s">
        <v>308</v>
      </c>
    </row>
    <row r="34" spans="1:18">
      <c r="A34" t="s">
        <v>101</v>
      </c>
      <c r="B34">
        <v>53</v>
      </c>
      <c r="C34" t="s">
        <v>59</v>
      </c>
      <c r="D34" t="s">
        <v>64</v>
      </c>
      <c r="E34">
        <v>39100</v>
      </c>
      <c r="F34">
        <v>7</v>
      </c>
      <c r="G34">
        <v>1</v>
      </c>
      <c r="J34" t="s">
        <v>321</v>
      </c>
      <c r="K34" s="7" t="s">
        <v>309</v>
      </c>
      <c r="L34" s="7" t="s">
        <v>307</v>
      </c>
      <c r="M34" s="7" t="s">
        <v>305</v>
      </c>
      <c r="N34" s="7" t="s">
        <v>131</v>
      </c>
      <c r="O34" s="7" t="s">
        <v>306</v>
      </c>
      <c r="P34" s="7" t="s">
        <v>131</v>
      </c>
      <c r="Q34" s="7" t="s">
        <v>312</v>
      </c>
      <c r="R34" s="7" t="s">
        <v>311</v>
      </c>
    </row>
    <row r="35" spans="1:18">
      <c r="A35" t="s">
        <v>102</v>
      </c>
      <c r="B35">
        <v>40</v>
      </c>
      <c r="C35" t="s">
        <v>59</v>
      </c>
      <c r="D35" t="s">
        <v>60</v>
      </c>
      <c r="E35">
        <v>41500</v>
      </c>
      <c r="F35">
        <v>9</v>
      </c>
      <c r="G35">
        <v>9</v>
      </c>
      <c r="J35" t="s">
        <v>292</v>
      </c>
      <c r="K35" s="7" t="s">
        <v>306</v>
      </c>
      <c r="L35" s="7" t="s">
        <v>312</v>
      </c>
      <c r="M35" s="7" t="s">
        <v>306</v>
      </c>
      <c r="N35" s="7" t="s">
        <v>311</v>
      </c>
      <c r="O35" s="7" t="s">
        <v>305</v>
      </c>
      <c r="P35" s="7" t="s">
        <v>308</v>
      </c>
      <c r="Q35" s="7" t="s">
        <v>306</v>
      </c>
      <c r="R35" s="7" t="s">
        <v>312</v>
      </c>
    </row>
    <row r="36" spans="1:18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  <c r="J36" t="s">
        <v>322</v>
      </c>
      <c r="K36" s="7" t="s">
        <v>307</v>
      </c>
      <c r="L36" s="7" t="s">
        <v>312</v>
      </c>
      <c r="M36" s="7" t="s">
        <v>306</v>
      </c>
      <c r="N36" s="7" t="s">
        <v>308</v>
      </c>
      <c r="O36" s="7" t="s">
        <v>306</v>
      </c>
      <c r="P36" s="7" t="s">
        <v>312</v>
      </c>
      <c r="Q36" s="7" t="s">
        <v>305</v>
      </c>
      <c r="R36" s="7" t="s">
        <v>308</v>
      </c>
    </row>
    <row r="37" spans="1:18">
      <c r="A37" t="s">
        <v>104</v>
      </c>
      <c r="B37">
        <v>61</v>
      </c>
      <c r="C37" t="s">
        <v>59</v>
      </c>
      <c r="D37" t="s">
        <v>64</v>
      </c>
      <c r="E37">
        <v>35500</v>
      </c>
      <c r="F37">
        <v>0</v>
      </c>
      <c r="G37">
        <v>10</v>
      </c>
      <c r="J37" t="s">
        <v>323</v>
      </c>
      <c r="K37" s="7" t="s">
        <v>309</v>
      </c>
      <c r="L37" s="7" t="s">
        <v>131</v>
      </c>
      <c r="M37" s="7" t="s">
        <v>308</v>
      </c>
      <c r="N37" s="7" t="s">
        <v>312</v>
      </c>
      <c r="O37" s="7" t="s">
        <v>313</v>
      </c>
      <c r="P37" s="7" t="s">
        <v>307</v>
      </c>
      <c r="Q37" s="7" t="s">
        <v>311</v>
      </c>
      <c r="R37" s="7" t="s">
        <v>307</v>
      </c>
    </row>
    <row r="38" spans="1:18">
      <c r="A38" t="s">
        <v>105</v>
      </c>
      <c r="B38">
        <v>44</v>
      </c>
      <c r="C38" t="s">
        <v>59</v>
      </c>
      <c r="D38" t="s">
        <v>64</v>
      </c>
      <c r="E38">
        <v>46100</v>
      </c>
      <c r="F38">
        <v>0</v>
      </c>
      <c r="G38">
        <v>9</v>
      </c>
      <c r="J38" t="s">
        <v>324</v>
      </c>
      <c r="K38" s="7" t="s">
        <v>311</v>
      </c>
      <c r="L38" s="7" t="s">
        <v>305</v>
      </c>
      <c r="M38" s="7" t="s">
        <v>131</v>
      </c>
      <c r="N38" s="7" t="s">
        <v>305</v>
      </c>
      <c r="O38" s="7" t="s">
        <v>312</v>
      </c>
      <c r="P38" s="7" t="s">
        <v>306</v>
      </c>
      <c r="Q38" s="7" t="s">
        <v>313</v>
      </c>
      <c r="R38" s="7" t="s">
        <v>313</v>
      </c>
    </row>
    <row r="39" spans="1:18">
      <c r="A39" t="s">
        <v>106</v>
      </c>
      <c r="B39">
        <v>48</v>
      </c>
      <c r="C39" t="s">
        <v>59</v>
      </c>
      <c r="D39" t="s">
        <v>60</v>
      </c>
      <c r="E39">
        <v>37300</v>
      </c>
      <c r="F39">
        <v>4</v>
      </c>
      <c r="G39">
        <v>7</v>
      </c>
      <c r="J39" t="s">
        <v>325</v>
      </c>
      <c r="K39" s="7" t="s">
        <v>306</v>
      </c>
      <c r="L39" s="7" t="s">
        <v>311</v>
      </c>
      <c r="M39" s="7" t="s">
        <v>311</v>
      </c>
      <c r="N39" s="7" t="s">
        <v>311</v>
      </c>
      <c r="O39" s="7" t="s">
        <v>305</v>
      </c>
      <c r="P39" s="7" t="s">
        <v>313</v>
      </c>
      <c r="Q39" s="7" t="s">
        <v>305</v>
      </c>
      <c r="R39" s="7" t="s">
        <v>131</v>
      </c>
    </row>
    <row r="40" spans="1:18">
      <c r="A40" t="s">
        <v>107</v>
      </c>
      <c r="B40">
        <v>38</v>
      </c>
      <c r="C40" t="s">
        <v>59</v>
      </c>
      <c r="D40" t="s">
        <v>108</v>
      </c>
      <c r="E40">
        <v>62600</v>
      </c>
      <c r="F40">
        <v>0</v>
      </c>
      <c r="G40">
        <v>4</v>
      </c>
      <c r="J40" t="s">
        <v>326</v>
      </c>
      <c r="K40" s="7" t="s">
        <v>305</v>
      </c>
      <c r="L40" s="7" t="s">
        <v>307</v>
      </c>
      <c r="M40" s="7" t="s">
        <v>305</v>
      </c>
      <c r="N40" s="7" t="s">
        <v>312</v>
      </c>
      <c r="O40" s="7" t="s">
        <v>309</v>
      </c>
      <c r="P40" s="7" t="s">
        <v>131</v>
      </c>
      <c r="Q40" s="7" t="s">
        <v>307</v>
      </c>
      <c r="R40" s="7" t="s">
        <v>308</v>
      </c>
    </row>
    <row r="41" spans="1:18">
      <c r="A41" t="s">
        <v>109</v>
      </c>
      <c r="B41">
        <v>31</v>
      </c>
      <c r="C41" t="s">
        <v>59</v>
      </c>
      <c r="D41" t="s">
        <v>64</v>
      </c>
      <c r="E41">
        <v>29400</v>
      </c>
      <c r="F41">
        <v>12</v>
      </c>
      <c r="G41">
        <v>4</v>
      </c>
      <c r="J41" t="s">
        <v>327</v>
      </c>
      <c r="K41" s="7" t="s">
        <v>313</v>
      </c>
      <c r="L41" s="7" t="s">
        <v>312</v>
      </c>
      <c r="M41" s="7" t="s">
        <v>131</v>
      </c>
      <c r="N41" s="7" t="s">
        <v>131</v>
      </c>
      <c r="O41" s="7" t="s">
        <v>311</v>
      </c>
      <c r="P41" s="7" t="s">
        <v>309</v>
      </c>
      <c r="Q41" s="7" t="s">
        <v>311</v>
      </c>
      <c r="R41" s="7" t="s">
        <v>306</v>
      </c>
    </row>
    <row r="42" spans="1:18">
      <c r="A42" t="s">
        <v>110</v>
      </c>
      <c r="B42">
        <v>54</v>
      </c>
      <c r="C42" t="s">
        <v>59</v>
      </c>
      <c r="D42" t="s">
        <v>60</v>
      </c>
      <c r="E42">
        <v>53200</v>
      </c>
      <c r="F42">
        <v>2</v>
      </c>
      <c r="G42">
        <v>3</v>
      </c>
      <c r="J42" t="s">
        <v>328</v>
      </c>
      <c r="K42" s="7" t="s">
        <v>306</v>
      </c>
      <c r="L42" s="7" t="s">
        <v>306</v>
      </c>
      <c r="M42" s="7" t="s">
        <v>131</v>
      </c>
      <c r="N42" s="7" t="s">
        <v>309</v>
      </c>
      <c r="O42" s="7" t="s">
        <v>311</v>
      </c>
      <c r="P42" s="7" t="s">
        <v>311</v>
      </c>
      <c r="Q42" s="7" t="s">
        <v>131</v>
      </c>
      <c r="R42" s="7" t="s">
        <v>307</v>
      </c>
    </row>
    <row r="43" spans="1:18">
      <c r="A43" t="s">
        <v>111</v>
      </c>
      <c r="B43">
        <v>52</v>
      </c>
      <c r="C43" t="s">
        <v>59</v>
      </c>
      <c r="D43" t="s">
        <v>80</v>
      </c>
      <c r="E43">
        <v>45600</v>
      </c>
      <c r="F43">
        <v>4</v>
      </c>
      <c r="G43">
        <v>9</v>
      </c>
      <c r="J43" t="s">
        <v>329</v>
      </c>
      <c r="K43" s="7" t="s">
        <v>306</v>
      </c>
      <c r="L43" s="7" t="s">
        <v>308</v>
      </c>
      <c r="M43" s="7" t="s">
        <v>307</v>
      </c>
      <c r="N43" s="7" t="s">
        <v>305</v>
      </c>
      <c r="O43" s="7" t="s">
        <v>313</v>
      </c>
      <c r="P43" s="7" t="s">
        <v>307</v>
      </c>
      <c r="Q43" s="7" t="s">
        <v>309</v>
      </c>
      <c r="R43" s="7" t="s">
        <v>131</v>
      </c>
    </row>
    <row r="44" spans="1:18">
      <c r="A44" t="s">
        <v>112</v>
      </c>
      <c r="B44">
        <v>51</v>
      </c>
      <c r="C44" t="s">
        <v>59</v>
      </c>
      <c r="D44" t="s">
        <v>77</v>
      </c>
      <c r="E44">
        <v>45400</v>
      </c>
      <c r="F44">
        <v>5</v>
      </c>
      <c r="G44">
        <v>1</v>
      </c>
      <c r="J44" t="s">
        <v>330</v>
      </c>
      <c r="K44" s="7" t="s">
        <v>308</v>
      </c>
      <c r="L44" s="7" t="s">
        <v>313</v>
      </c>
      <c r="M44" s="7" t="s">
        <v>308</v>
      </c>
      <c r="N44" s="7" t="s">
        <v>308</v>
      </c>
      <c r="O44" s="7" t="s">
        <v>309</v>
      </c>
      <c r="P44" s="7" t="s">
        <v>313</v>
      </c>
      <c r="Q44" s="7" t="s">
        <v>306</v>
      </c>
      <c r="R44" s="7" t="s">
        <v>131</v>
      </c>
    </row>
    <row r="45" spans="1:18">
      <c r="A45" t="s">
        <v>113</v>
      </c>
      <c r="B45">
        <v>54</v>
      </c>
      <c r="C45" t="s">
        <v>59</v>
      </c>
      <c r="D45" t="s">
        <v>67</v>
      </c>
      <c r="E45">
        <v>30500</v>
      </c>
      <c r="F45">
        <v>11</v>
      </c>
      <c r="G45">
        <v>8</v>
      </c>
      <c r="J45" t="s">
        <v>331</v>
      </c>
      <c r="K45" s="7" t="s">
        <v>305</v>
      </c>
      <c r="L45" s="7" t="s">
        <v>305</v>
      </c>
      <c r="M45" s="7" t="s">
        <v>131</v>
      </c>
      <c r="N45" s="7" t="s">
        <v>313</v>
      </c>
      <c r="O45" s="7" t="s">
        <v>308</v>
      </c>
      <c r="P45" s="7" t="s">
        <v>307</v>
      </c>
      <c r="Q45" s="7" t="s">
        <v>307</v>
      </c>
      <c r="R45" s="7" t="s">
        <v>307</v>
      </c>
    </row>
    <row r="46" spans="1:18">
      <c r="A46" t="s">
        <v>114</v>
      </c>
      <c r="B46">
        <v>49</v>
      </c>
      <c r="C46" t="s">
        <v>59</v>
      </c>
      <c r="D46" t="s">
        <v>77</v>
      </c>
      <c r="E46">
        <v>51500</v>
      </c>
      <c r="F46">
        <v>0</v>
      </c>
      <c r="G46">
        <v>1</v>
      </c>
      <c r="J46" t="s">
        <v>332</v>
      </c>
      <c r="K46" s="7" t="s">
        <v>131</v>
      </c>
      <c r="L46" s="7" t="s">
        <v>307</v>
      </c>
      <c r="M46" s="7" t="s">
        <v>312</v>
      </c>
      <c r="N46" s="7" t="s">
        <v>307</v>
      </c>
      <c r="O46" s="7" t="s">
        <v>311</v>
      </c>
      <c r="P46" s="7" t="s">
        <v>308</v>
      </c>
      <c r="Q46" s="7" t="s">
        <v>309</v>
      </c>
      <c r="R46" s="7" t="s">
        <v>311</v>
      </c>
    </row>
    <row r="47" spans="1:18">
      <c r="A47" t="s">
        <v>115</v>
      </c>
      <c r="B47">
        <v>42</v>
      </c>
      <c r="C47" t="s">
        <v>59</v>
      </c>
      <c r="D47" t="s">
        <v>80</v>
      </c>
      <c r="E47">
        <v>48700</v>
      </c>
      <c r="F47">
        <v>4</v>
      </c>
      <c r="G47">
        <v>1</v>
      </c>
      <c r="J47" t="s">
        <v>333</v>
      </c>
      <c r="K47" s="7" t="s">
        <v>313</v>
      </c>
      <c r="L47" s="7" t="s">
        <v>311</v>
      </c>
      <c r="M47" s="7" t="s">
        <v>311</v>
      </c>
      <c r="N47" s="7" t="s">
        <v>131</v>
      </c>
      <c r="O47" s="7" t="s">
        <v>305</v>
      </c>
      <c r="P47" s="7" t="s">
        <v>311</v>
      </c>
      <c r="Q47" s="7" t="s">
        <v>305</v>
      </c>
      <c r="R47" s="7" t="s">
        <v>306</v>
      </c>
    </row>
    <row r="48" spans="1:18">
      <c r="A48" t="s">
        <v>116</v>
      </c>
      <c r="B48">
        <v>55</v>
      </c>
      <c r="C48" t="s">
        <v>59</v>
      </c>
      <c r="D48" t="s">
        <v>60</v>
      </c>
      <c r="E48">
        <v>34200</v>
      </c>
      <c r="F48">
        <v>4</v>
      </c>
      <c r="G48">
        <v>6</v>
      </c>
      <c r="J48" t="s">
        <v>334</v>
      </c>
      <c r="K48" s="7" t="s">
        <v>305</v>
      </c>
      <c r="L48" s="7" t="s">
        <v>311</v>
      </c>
      <c r="M48" s="7" t="s">
        <v>311</v>
      </c>
      <c r="N48" s="7" t="s">
        <v>313</v>
      </c>
      <c r="O48" s="7" t="s">
        <v>307</v>
      </c>
      <c r="P48" s="7" t="s">
        <v>312</v>
      </c>
      <c r="Q48" s="7" t="s">
        <v>311</v>
      </c>
      <c r="R48" s="7" t="s">
        <v>131</v>
      </c>
    </row>
    <row r="49" spans="1:18">
      <c r="A49" t="s">
        <v>117</v>
      </c>
      <c r="B49">
        <v>47</v>
      </c>
      <c r="C49" t="s">
        <v>59</v>
      </c>
      <c r="D49" t="s">
        <v>60</v>
      </c>
      <c r="E49">
        <v>53400</v>
      </c>
      <c r="F49">
        <v>8</v>
      </c>
      <c r="G49">
        <v>1</v>
      </c>
      <c r="J49" t="s">
        <v>335</v>
      </c>
      <c r="K49" s="7" t="s">
        <v>313</v>
      </c>
      <c r="L49" s="7" t="s">
        <v>313</v>
      </c>
      <c r="M49" s="7" t="s">
        <v>312</v>
      </c>
      <c r="N49" s="7" t="s">
        <v>309</v>
      </c>
      <c r="O49" s="7" t="s">
        <v>312</v>
      </c>
      <c r="P49" s="7" t="s">
        <v>306</v>
      </c>
      <c r="Q49" s="7" t="s">
        <v>312</v>
      </c>
      <c r="R49" s="7" t="s">
        <v>131</v>
      </c>
    </row>
    <row r="50" spans="1:18">
      <c r="A50" t="s">
        <v>118</v>
      </c>
      <c r="B50">
        <v>43</v>
      </c>
      <c r="C50" t="s">
        <v>59</v>
      </c>
      <c r="D50" t="s">
        <v>67</v>
      </c>
      <c r="E50">
        <v>33700</v>
      </c>
      <c r="F50">
        <v>3</v>
      </c>
      <c r="G50">
        <v>8</v>
      </c>
      <c r="J50" t="s">
        <v>336</v>
      </c>
      <c r="K50" s="7" t="s">
        <v>312</v>
      </c>
      <c r="L50" s="7" t="s">
        <v>308</v>
      </c>
      <c r="M50" s="7" t="s">
        <v>307</v>
      </c>
      <c r="N50" s="7" t="s">
        <v>311</v>
      </c>
      <c r="O50" s="7" t="s">
        <v>131</v>
      </c>
      <c r="P50" s="7" t="s">
        <v>313</v>
      </c>
      <c r="Q50" s="7" t="s">
        <v>312</v>
      </c>
      <c r="R50" s="7" t="s">
        <v>308</v>
      </c>
    </row>
    <row r="51" spans="1:18">
      <c r="A51" t="s">
        <v>119</v>
      </c>
      <c r="B51">
        <v>48</v>
      </c>
      <c r="C51" t="s">
        <v>59</v>
      </c>
      <c r="D51" t="s">
        <v>64</v>
      </c>
      <c r="E51">
        <v>19900</v>
      </c>
      <c r="F51">
        <v>7</v>
      </c>
      <c r="G51">
        <v>6</v>
      </c>
      <c r="J51" t="s">
        <v>337</v>
      </c>
      <c r="K51" s="7" t="s">
        <v>311</v>
      </c>
      <c r="L51" s="7" t="s">
        <v>312</v>
      </c>
      <c r="M51" s="7" t="s">
        <v>313</v>
      </c>
      <c r="N51" s="7" t="s">
        <v>308</v>
      </c>
      <c r="O51" s="7" t="s">
        <v>306</v>
      </c>
      <c r="P51" s="7" t="s">
        <v>305</v>
      </c>
      <c r="Q51" s="7" t="s">
        <v>312</v>
      </c>
      <c r="R51" s="7" t="s">
        <v>311</v>
      </c>
    </row>
    <row r="52" spans="1:18">
      <c r="A52" t="s">
        <v>120</v>
      </c>
      <c r="B52">
        <v>35</v>
      </c>
      <c r="C52" t="s">
        <v>59</v>
      </c>
      <c r="D52" t="s">
        <v>80</v>
      </c>
      <c r="E52">
        <v>32700</v>
      </c>
      <c r="F52">
        <v>0</v>
      </c>
      <c r="G52">
        <v>3</v>
      </c>
      <c r="J52" t="s">
        <v>338</v>
      </c>
      <c r="K52" s="7" t="s">
        <v>309</v>
      </c>
      <c r="L52" s="7" t="s">
        <v>312</v>
      </c>
      <c r="M52" s="7" t="s">
        <v>131</v>
      </c>
      <c r="N52" s="7" t="s">
        <v>308</v>
      </c>
      <c r="O52" s="7" t="s">
        <v>305</v>
      </c>
      <c r="P52" s="7" t="s">
        <v>305</v>
      </c>
      <c r="Q52" s="7" t="s">
        <v>309</v>
      </c>
      <c r="R52" s="7" t="s">
        <v>309</v>
      </c>
    </row>
    <row r="53" spans="1:18">
      <c r="A53" t="s">
        <v>121</v>
      </c>
      <c r="B53">
        <v>33</v>
      </c>
      <c r="C53" t="s">
        <v>59</v>
      </c>
      <c r="D53" t="s">
        <v>80</v>
      </c>
      <c r="E53">
        <v>56600</v>
      </c>
      <c r="F53">
        <v>6</v>
      </c>
      <c r="G53">
        <v>9</v>
      </c>
      <c r="J53" t="s">
        <v>339</v>
      </c>
      <c r="K53" s="7" t="s">
        <v>307</v>
      </c>
      <c r="L53" s="7" t="s">
        <v>305</v>
      </c>
      <c r="M53" s="7" t="s">
        <v>313</v>
      </c>
      <c r="N53" s="7" t="s">
        <v>311</v>
      </c>
      <c r="O53" s="7" t="s">
        <v>309</v>
      </c>
      <c r="P53" s="7" t="s">
        <v>305</v>
      </c>
      <c r="Q53" s="7" t="s">
        <v>312</v>
      </c>
      <c r="R53" s="7" t="s">
        <v>307</v>
      </c>
    </row>
    <row r="54" spans="1:18">
      <c r="A54" t="s">
        <v>122</v>
      </c>
      <c r="B54">
        <v>46</v>
      </c>
      <c r="C54" t="s">
        <v>59</v>
      </c>
      <c r="D54" t="s">
        <v>92</v>
      </c>
      <c r="E54">
        <v>23000</v>
      </c>
      <c r="F54">
        <v>2</v>
      </c>
      <c r="G54">
        <v>7</v>
      </c>
      <c r="J54" t="s">
        <v>340</v>
      </c>
      <c r="K54" s="7" t="s">
        <v>313</v>
      </c>
      <c r="L54" s="7" t="s">
        <v>313</v>
      </c>
      <c r="M54" s="7" t="s">
        <v>306</v>
      </c>
      <c r="N54" s="7" t="s">
        <v>311</v>
      </c>
      <c r="O54" s="7" t="s">
        <v>311</v>
      </c>
      <c r="P54" s="7" t="s">
        <v>305</v>
      </c>
      <c r="Q54" s="7" t="s">
        <v>309</v>
      </c>
      <c r="R54" s="7" t="s">
        <v>131</v>
      </c>
    </row>
    <row r="55" spans="1:18">
      <c r="A55" t="s">
        <v>123</v>
      </c>
      <c r="B55">
        <v>46</v>
      </c>
      <c r="C55" t="s">
        <v>59</v>
      </c>
      <c r="D55" t="s">
        <v>108</v>
      </c>
      <c r="E55">
        <v>54500</v>
      </c>
      <c r="F55">
        <v>10</v>
      </c>
      <c r="G55">
        <v>5</v>
      </c>
      <c r="J55" t="s">
        <v>341</v>
      </c>
      <c r="K55" s="7" t="s">
        <v>131</v>
      </c>
      <c r="L55" s="7" t="s">
        <v>305</v>
      </c>
      <c r="M55" s="7" t="s">
        <v>305</v>
      </c>
      <c r="N55" s="7" t="s">
        <v>313</v>
      </c>
      <c r="O55" s="7" t="s">
        <v>312</v>
      </c>
      <c r="P55" s="7" t="s">
        <v>309</v>
      </c>
      <c r="Q55" s="7" t="s">
        <v>307</v>
      </c>
      <c r="R55" s="7" t="s">
        <v>309</v>
      </c>
    </row>
    <row r="56" spans="1:18">
      <c r="A56" t="s">
        <v>124</v>
      </c>
      <c r="B56">
        <v>51</v>
      </c>
      <c r="C56" t="s">
        <v>59</v>
      </c>
      <c r="D56" t="s">
        <v>60</v>
      </c>
      <c r="E56">
        <v>46200</v>
      </c>
      <c r="F56">
        <v>8</v>
      </c>
      <c r="G56">
        <v>7</v>
      </c>
      <c r="J56" t="s">
        <v>342</v>
      </c>
      <c r="K56" s="7" t="s">
        <v>307</v>
      </c>
      <c r="L56" s="7" t="s">
        <v>312</v>
      </c>
      <c r="M56" s="7" t="s">
        <v>309</v>
      </c>
      <c r="N56" s="7" t="s">
        <v>313</v>
      </c>
      <c r="O56" s="7" t="s">
        <v>307</v>
      </c>
      <c r="P56" s="7" t="s">
        <v>308</v>
      </c>
      <c r="Q56" s="7" t="s">
        <v>311</v>
      </c>
      <c r="R56" s="7" t="s">
        <v>306</v>
      </c>
    </row>
    <row r="57" spans="1:18">
      <c r="A57" t="s">
        <v>125</v>
      </c>
      <c r="B57">
        <v>44</v>
      </c>
      <c r="C57" t="s">
        <v>59</v>
      </c>
      <c r="D57" t="s">
        <v>67</v>
      </c>
      <c r="E57">
        <v>30200</v>
      </c>
      <c r="F57">
        <v>19</v>
      </c>
      <c r="G57">
        <v>1</v>
      </c>
      <c r="J57" t="s">
        <v>296</v>
      </c>
      <c r="K57" s="7" t="s">
        <v>131</v>
      </c>
      <c r="L57" s="7" t="s">
        <v>131</v>
      </c>
      <c r="M57" s="7" t="s">
        <v>313</v>
      </c>
      <c r="N57" s="7" t="s">
        <v>313</v>
      </c>
      <c r="O57" s="7" t="s">
        <v>312</v>
      </c>
      <c r="P57" s="7" t="s">
        <v>312</v>
      </c>
      <c r="Q57" s="7" t="s">
        <v>131</v>
      </c>
      <c r="R57" s="7" t="s">
        <v>307</v>
      </c>
    </row>
    <row r="58" spans="1:18">
      <c r="A58" t="s">
        <v>126</v>
      </c>
      <c r="B58">
        <v>55</v>
      </c>
      <c r="C58" t="s">
        <v>59</v>
      </c>
      <c r="D58" t="s">
        <v>60</v>
      </c>
      <c r="E58">
        <v>59600</v>
      </c>
      <c r="F58">
        <v>13</v>
      </c>
      <c r="G58">
        <v>3</v>
      </c>
      <c r="J58" t="s">
        <v>343</v>
      </c>
      <c r="K58" s="7" t="s">
        <v>313</v>
      </c>
      <c r="L58" s="7" t="s">
        <v>308</v>
      </c>
      <c r="M58" s="7" t="s">
        <v>311</v>
      </c>
      <c r="N58" s="7" t="s">
        <v>308</v>
      </c>
      <c r="O58" s="7" t="s">
        <v>306</v>
      </c>
      <c r="P58" s="7" t="s">
        <v>305</v>
      </c>
      <c r="Q58" s="7" t="s">
        <v>313</v>
      </c>
      <c r="R58" s="7" t="s">
        <v>313</v>
      </c>
    </row>
    <row r="59" spans="1:18">
      <c r="A59" t="s">
        <v>127</v>
      </c>
      <c r="B59">
        <v>57</v>
      </c>
      <c r="C59" t="s">
        <v>59</v>
      </c>
      <c r="D59" t="s">
        <v>67</v>
      </c>
      <c r="E59">
        <v>34800</v>
      </c>
      <c r="F59">
        <v>9</v>
      </c>
      <c r="G59">
        <v>2</v>
      </c>
      <c r="J59" t="s">
        <v>344</v>
      </c>
      <c r="K59" s="7" t="s">
        <v>131</v>
      </c>
      <c r="L59" s="7" t="s">
        <v>311</v>
      </c>
      <c r="M59" s="7" t="s">
        <v>307</v>
      </c>
      <c r="N59" s="7" t="s">
        <v>312</v>
      </c>
      <c r="O59" s="7" t="s">
        <v>313</v>
      </c>
      <c r="P59" s="7" t="s">
        <v>311</v>
      </c>
      <c r="Q59" s="7" t="s">
        <v>307</v>
      </c>
      <c r="R59" s="7" t="s">
        <v>131</v>
      </c>
    </row>
    <row r="60" spans="1:18">
      <c r="A60" t="s">
        <v>128</v>
      </c>
      <c r="B60">
        <v>53</v>
      </c>
      <c r="C60" t="s">
        <v>59</v>
      </c>
      <c r="D60" t="s">
        <v>92</v>
      </c>
      <c r="E60">
        <v>28100</v>
      </c>
      <c r="F60">
        <v>5</v>
      </c>
      <c r="G60">
        <v>2</v>
      </c>
      <c r="J60" t="s">
        <v>345</v>
      </c>
      <c r="K60" s="7" t="s">
        <v>305</v>
      </c>
      <c r="L60" s="7" t="s">
        <v>313</v>
      </c>
      <c r="M60" s="7" t="s">
        <v>313</v>
      </c>
      <c r="N60" s="7" t="s">
        <v>308</v>
      </c>
      <c r="O60" s="7" t="s">
        <v>313</v>
      </c>
      <c r="P60" s="7" t="s">
        <v>308</v>
      </c>
      <c r="Q60" s="7" t="s">
        <v>305</v>
      </c>
      <c r="R60" s="7" t="s">
        <v>311</v>
      </c>
    </row>
    <row r="61" spans="1:18">
      <c r="A61" t="s">
        <v>129</v>
      </c>
      <c r="B61">
        <v>57</v>
      </c>
      <c r="C61" t="s">
        <v>59</v>
      </c>
      <c r="D61" t="s">
        <v>64</v>
      </c>
      <c r="E61">
        <v>19300</v>
      </c>
      <c r="F61">
        <v>0</v>
      </c>
      <c r="G61">
        <v>4</v>
      </c>
      <c r="J61" t="s">
        <v>346</v>
      </c>
      <c r="K61" s="7" t="s">
        <v>309</v>
      </c>
      <c r="L61" s="7" t="s">
        <v>313</v>
      </c>
      <c r="M61" s="7" t="s">
        <v>307</v>
      </c>
      <c r="N61" s="7" t="s">
        <v>312</v>
      </c>
      <c r="O61" s="7" t="s">
        <v>305</v>
      </c>
      <c r="P61" s="7" t="s">
        <v>307</v>
      </c>
      <c r="Q61" s="7" t="s">
        <v>308</v>
      </c>
      <c r="R61" s="7" t="s">
        <v>131</v>
      </c>
    </row>
    <row r="62" spans="1:18">
      <c r="A62" t="s">
        <v>130</v>
      </c>
      <c r="B62">
        <v>36</v>
      </c>
      <c r="C62" t="s">
        <v>131</v>
      </c>
      <c r="D62" t="s">
        <v>60</v>
      </c>
      <c r="E62">
        <v>45600</v>
      </c>
      <c r="F62">
        <v>17</v>
      </c>
      <c r="G62">
        <v>7</v>
      </c>
      <c r="J62" t="s">
        <v>347</v>
      </c>
      <c r="K62" s="7" t="s">
        <v>313</v>
      </c>
      <c r="L62" s="7" t="s">
        <v>309</v>
      </c>
      <c r="M62" s="7" t="s">
        <v>312</v>
      </c>
      <c r="N62" s="7" t="s">
        <v>306</v>
      </c>
      <c r="O62" s="7" t="s">
        <v>131</v>
      </c>
      <c r="P62" s="7" t="s">
        <v>312</v>
      </c>
      <c r="Q62" s="7" t="s">
        <v>307</v>
      </c>
      <c r="R62" s="7" t="s">
        <v>312</v>
      </c>
    </row>
    <row r="63" spans="1:18">
      <c r="A63" t="s">
        <v>132</v>
      </c>
      <c r="B63">
        <v>42</v>
      </c>
      <c r="C63" t="s">
        <v>131</v>
      </c>
      <c r="D63" t="s">
        <v>67</v>
      </c>
      <c r="E63">
        <v>29700</v>
      </c>
      <c r="F63">
        <v>4</v>
      </c>
      <c r="G63">
        <v>4</v>
      </c>
      <c r="J63" t="s">
        <v>348</v>
      </c>
      <c r="K63" s="7" t="s">
        <v>307</v>
      </c>
      <c r="L63" s="7" t="s">
        <v>309</v>
      </c>
      <c r="M63" s="7" t="s">
        <v>312</v>
      </c>
      <c r="N63" s="7" t="s">
        <v>131</v>
      </c>
      <c r="O63" s="7" t="s">
        <v>131</v>
      </c>
      <c r="P63" s="7" t="s">
        <v>312</v>
      </c>
      <c r="Q63" s="7" t="s">
        <v>131</v>
      </c>
      <c r="R63" s="7" t="s">
        <v>305</v>
      </c>
    </row>
    <row r="64" spans="1:18">
      <c r="A64" t="s">
        <v>133</v>
      </c>
      <c r="B64">
        <v>32</v>
      </c>
      <c r="C64" t="s">
        <v>131</v>
      </c>
      <c r="D64" t="s">
        <v>64</v>
      </c>
      <c r="E64">
        <v>41200</v>
      </c>
      <c r="F64">
        <v>0</v>
      </c>
      <c r="G64">
        <v>6</v>
      </c>
      <c r="J64" t="s">
        <v>349</v>
      </c>
      <c r="K64" s="7" t="s">
        <v>306</v>
      </c>
      <c r="L64" s="7" t="s">
        <v>313</v>
      </c>
      <c r="M64" s="7" t="s">
        <v>305</v>
      </c>
      <c r="N64" s="7" t="s">
        <v>306</v>
      </c>
      <c r="O64" s="7" t="s">
        <v>313</v>
      </c>
      <c r="P64" s="7" t="s">
        <v>131</v>
      </c>
      <c r="Q64" s="7" t="s">
        <v>309</v>
      </c>
      <c r="R64" s="7" t="s">
        <v>308</v>
      </c>
    </row>
    <row r="65" spans="1:18">
      <c r="A65" t="s">
        <v>134</v>
      </c>
      <c r="B65">
        <v>50</v>
      </c>
      <c r="C65" t="s">
        <v>131</v>
      </c>
      <c r="D65" t="s">
        <v>64</v>
      </c>
      <c r="E65">
        <v>39800</v>
      </c>
      <c r="F65">
        <v>0</v>
      </c>
      <c r="G65">
        <v>5</v>
      </c>
      <c r="J65" t="s">
        <v>350</v>
      </c>
      <c r="K65" s="7" t="s">
        <v>305</v>
      </c>
      <c r="L65" s="7" t="s">
        <v>308</v>
      </c>
      <c r="M65" s="7" t="s">
        <v>311</v>
      </c>
      <c r="N65" s="7" t="s">
        <v>308</v>
      </c>
      <c r="O65" s="7" t="s">
        <v>131</v>
      </c>
      <c r="P65" s="7" t="s">
        <v>306</v>
      </c>
      <c r="Q65" s="7" t="s">
        <v>131</v>
      </c>
      <c r="R65" s="7" t="s">
        <v>313</v>
      </c>
    </row>
    <row r="66" spans="1:18">
      <c r="A66" t="s">
        <v>136</v>
      </c>
      <c r="B66">
        <v>61</v>
      </c>
      <c r="C66" t="s">
        <v>131</v>
      </c>
      <c r="D66" t="s">
        <v>60</v>
      </c>
      <c r="E66">
        <v>59600</v>
      </c>
      <c r="F66">
        <v>8</v>
      </c>
      <c r="G66">
        <v>4</v>
      </c>
      <c r="J66" t="s">
        <v>351</v>
      </c>
      <c r="K66" s="7" t="s">
        <v>312</v>
      </c>
      <c r="L66" s="7" t="s">
        <v>131</v>
      </c>
      <c r="M66" s="7" t="s">
        <v>131</v>
      </c>
      <c r="N66" s="7" t="s">
        <v>306</v>
      </c>
      <c r="O66" s="7" t="s">
        <v>311</v>
      </c>
      <c r="P66" s="7" t="s">
        <v>307</v>
      </c>
      <c r="Q66" s="7" t="s">
        <v>131</v>
      </c>
      <c r="R66" s="7" t="s">
        <v>312</v>
      </c>
    </row>
    <row r="67" spans="1:18">
      <c r="A67" t="s">
        <v>137</v>
      </c>
      <c r="B67">
        <v>52</v>
      </c>
      <c r="C67" t="s">
        <v>131</v>
      </c>
      <c r="D67" t="s">
        <v>64</v>
      </c>
      <c r="E67">
        <v>34900</v>
      </c>
      <c r="F67">
        <v>9</v>
      </c>
      <c r="G67">
        <v>5</v>
      </c>
      <c r="J67" t="s">
        <v>352</v>
      </c>
      <c r="K67" s="7" t="s">
        <v>307</v>
      </c>
      <c r="L67" s="7" t="s">
        <v>131</v>
      </c>
      <c r="M67" s="7" t="s">
        <v>313</v>
      </c>
      <c r="N67" s="7" t="s">
        <v>311</v>
      </c>
      <c r="O67" s="7" t="s">
        <v>312</v>
      </c>
      <c r="P67" s="7" t="s">
        <v>309</v>
      </c>
      <c r="Q67" s="7" t="s">
        <v>306</v>
      </c>
      <c r="R67" s="7" t="s">
        <v>313</v>
      </c>
    </row>
    <row r="68" spans="1:18">
      <c r="A68" t="s">
        <v>138</v>
      </c>
      <c r="B68">
        <v>42</v>
      </c>
      <c r="C68" t="s">
        <v>131</v>
      </c>
      <c r="D68" t="s">
        <v>92</v>
      </c>
      <c r="E68">
        <v>18800</v>
      </c>
      <c r="F68">
        <v>3</v>
      </c>
      <c r="G68">
        <v>7</v>
      </c>
      <c r="J68" t="s">
        <v>353</v>
      </c>
      <c r="K68" s="7" t="s">
        <v>307</v>
      </c>
      <c r="L68" s="7" t="s">
        <v>308</v>
      </c>
      <c r="M68" s="7" t="s">
        <v>312</v>
      </c>
      <c r="N68" s="7" t="s">
        <v>307</v>
      </c>
      <c r="O68" s="7" t="s">
        <v>307</v>
      </c>
      <c r="P68" s="7" t="s">
        <v>131</v>
      </c>
      <c r="Q68" s="7" t="s">
        <v>308</v>
      </c>
      <c r="R68" s="7" t="s">
        <v>305</v>
      </c>
    </row>
    <row r="69" spans="1:18">
      <c r="A69" t="s">
        <v>139</v>
      </c>
      <c r="B69">
        <v>42</v>
      </c>
      <c r="C69" t="s">
        <v>131</v>
      </c>
      <c r="D69" t="s">
        <v>60</v>
      </c>
      <c r="E69">
        <v>29500</v>
      </c>
      <c r="F69">
        <v>6</v>
      </c>
      <c r="G69">
        <v>4</v>
      </c>
      <c r="J69" t="s">
        <v>354</v>
      </c>
      <c r="K69" s="7" t="s">
        <v>311</v>
      </c>
      <c r="L69" s="7" t="s">
        <v>307</v>
      </c>
      <c r="M69" s="7" t="s">
        <v>307</v>
      </c>
      <c r="N69" s="7" t="s">
        <v>305</v>
      </c>
      <c r="O69" s="7" t="s">
        <v>308</v>
      </c>
      <c r="P69" s="7" t="s">
        <v>313</v>
      </c>
      <c r="Q69" s="7" t="s">
        <v>306</v>
      </c>
      <c r="R69" s="7" t="s">
        <v>311</v>
      </c>
    </row>
    <row r="70" spans="1:18">
      <c r="A70" t="s">
        <v>141</v>
      </c>
      <c r="B70">
        <v>54</v>
      </c>
      <c r="C70" t="s">
        <v>131</v>
      </c>
      <c r="D70" t="s">
        <v>108</v>
      </c>
      <c r="E70">
        <v>64900</v>
      </c>
      <c r="F70">
        <v>0</v>
      </c>
      <c r="G70">
        <v>4</v>
      </c>
      <c r="J70" t="s">
        <v>355</v>
      </c>
      <c r="K70" s="7" t="s">
        <v>308</v>
      </c>
      <c r="L70" s="7" t="s">
        <v>306</v>
      </c>
      <c r="M70" s="7" t="s">
        <v>307</v>
      </c>
      <c r="N70" s="7" t="s">
        <v>311</v>
      </c>
      <c r="O70" s="7" t="s">
        <v>305</v>
      </c>
      <c r="P70" s="7" t="s">
        <v>305</v>
      </c>
      <c r="Q70" s="7" t="s">
        <v>313</v>
      </c>
      <c r="R70" s="7" t="s">
        <v>309</v>
      </c>
    </row>
    <row r="71" spans="1:18">
      <c r="A71" t="s">
        <v>142</v>
      </c>
      <c r="B71">
        <v>40</v>
      </c>
      <c r="C71" t="s">
        <v>131</v>
      </c>
      <c r="D71" t="s">
        <v>60</v>
      </c>
      <c r="E71">
        <v>38900</v>
      </c>
      <c r="F71">
        <v>8</v>
      </c>
      <c r="G71">
        <v>3</v>
      </c>
      <c r="J71" t="s">
        <v>300</v>
      </c>
      <c r="K71" s="7" t="s">
        <v>311</v>
      </c>
      <c r="L71" s="7" t="s">
        <v>309</v>
      </c>
      <c r="M71" s="7" t="s">
        <v>307</v>
      </c>
      <c r="N71" s="7" t="s">
        <v>307</v>
      </c>
      <c r="O71" s="7" t="s">
        <v>131</v>
      </c>
      <c r="P71" s="7" t="s">
        <v>311</v>
      </c>
      <c r="Q71" s="7" t="s">
        <v>307</v>
      </c>
      <c r="R71" s="7" t="s">
        <v>309</v>
      </c>
    </row>
    <row r="72" spans="1:18">
      <c r="A72" t="s">
        <v>143</v>
      </c>
      <c r="B72">
        <v>55</v>
      </c>
      <c r="C72" t="s">
        <v>131</v>
      </c>
      <c r="D72" t="s">
        <v>80</v>
      </c>
      <c r="E72">
        <v>50100</v>
      </c>
      <c r="F72">
        <v>2</v>
      </c>
      <c r="G72">
        <v>5</v>
      </c>
      <c r="J72" t="s">
        <v>356</v>
      </c>
      <c r="K72" s="7" t="s">
        <v>312</v>
      </c>
      <c r="L72" s="7" t="s">
        <v>309</v>
      </c>
      <c r="M72" s="7" t="s">
        <v>131</v>
      </c>
      <c r="N72" s="7" t="s">
        <v>307</v>
      </c>
      <c r="O72" s="7" t="s">
        <v>306</v>
      </c>
      <c r="P72" s="7" t="s">
        <v>309</v>
      </c>
      <c r="Q72" s="7" t="s">
        <v>131</v>
      </c>
      <c r="R72" s="7" t="s">
        <v>131</v>
      </c>
    </row>
    <row r="73" spans="1:18">
      <c r="A73" t="s">
        <v>144</v>
      </c>
      <c r="B73">
        <v>52</v>
      </c>
      <c r="C73" t="s">
        <v>131</v>
      </c>
      <c r="D73" t="s">
        <v>77</v>
      </c>
      <c r="E73">
        <v>60000</v>
      </c>
      <c r="F73">
        <v>6</v>
      </c>
      <c r="G73">
        <v>1</v>
      </c>
      <c r="J73" t="s">
        <v>357</v>
      </c>
      <c r="K73" s="7" t="s">
        <v>311</v>
      </c>
      <c r="L73" s="7" t="s">
        <v>312</v>
      </c>
      <c r="M73" s="7" t="s">
        <v>313</v>
      </c>
      <c r="N73" s="7" t="s">
        <v>306</v>
      </c>
      <c r="O73" s="7" t="s">
        <v>308</v>
      </c>
      <c r="P73" s="7" t="s">
        <v>307</v>
      </c>
      <c r="Q73" s="7" t="s">
        <v>306</v>
      </c>
      <c r="R73" s="7" t="s">
        <v>313</v>
      </c>
    </row>
    <row r="74" spans="1:18">
      <c r="A74" t="s">
        <v>145</v>
      </c>
      <c r="B74">
        <v>32</v>
      </c>
      <c r="C74" t="s">
        <v>131</v>
      </c>
      <c r="D74" t="s">
        <v>60</v>
      </c>
      <c r="E74">
        <v>49600</v>
      </c>
      <c r="F74">
        <v>5</v>
      </c>
      <c r="G74">
        <v>3</v>
      </c>
    </row>
    <row r="75" spans="1:18">
      <c r="A75" t="s">
        <v>146</v>
      </c>
      <c r="B75">
        <v>32</v>
      </c>
      <c r="C75" t="s">
        <v>131</v>
      </c>
      <c r="D75" t="s">
        <v>60</v>
      </c>
      <c r="E75">
        <v>44100</v>
      </c>
      <c r="F75">
        <v>4</v>
      </c>
      <c r="G75">
        <v>4</v>
      </c>
    </row>
    <row r="76" spans="1:18">
      <c r="A76" t="s">
        <v>147</v>
      </c>
      <c r="B76">
        <v>30</v>
      </c>
      <c r="C76" t="s">
        <v>131</v>
      </c>
      <c r="D76" t="s">
        <v>80</v>
      </c>
      <c r="E76">
        <v>42600</v>
      </c>
      <c r="F76">
        <v>15</v>
      </c>
      <c r="G76">
        <v>10</v>
      </c>
    </row>
    <row r="77" spans="1:18">
      <c r="A77" t="s">
        <v>148</v>
      </c>
      <c r="B77">
        <v>28</v>
      </c>
      <c r="C77" t="s">
        <v>131</v>
      </c>
      <c r="D77" t="s">
        <v>77</v>
      </c>
      <c r="E77">
        <v>30700</v>
      </c>
      <c r="F77">
        <v>3</v>
      </c>
      <c r="G77">
        <v>2</v>
      </c>
    </row>
    <row r="78" spans="1:18">
      <c r="A78" t="s">
        <v>149</v>
      </c>
      <c r="B78">
        <v>42</v>
      </c>
      <c r="C78" t="s">
        <v>131</v>
      </c>
      <c r="D78" t="s">
        <v>64</v>
      </c>
      <c r="E78">
        <v>44800</v>
      </c>
      <c r="F78">
        <v>3</v>
      </c>
      <c r="G78">
        <v>10</v>
      </c>
      <c r="N78" t="s">
        <v>358</v>
      </c>
    </row>
    <row r="79" spans="1:18">
      <c r="A79" t="s">
        <v>150</v>
      </c>
      <c r="B79">
        <v>15</v>
      </c>
      <c r="C79" t="s">
        <v>131</v>
      </c>
      <c r="D79" t="s">
        <v>77</v>
      </c>
      <c r="E79">
        <v>31600</v>
      </c>
      <c r="F79">
        <v>2</v>
      </c>
      <c r="G79">
        <v>6</v>
      </c>
    </row>
    <row r="80" spans="1:18">
      <c r="A80" t="s">
        <v>151</v>
      </c>
      <c r="B80">
        <v>52</v>
      </c>
      <c r="C80" t="s">
        <v>131</v>
      </c>
      <c r="D80" t="s">
        <v>64</v>
      </c>
      <c r="E80">
        <v>28500</v>
      </c>
      <c r="F80">
        <v>16</v>
      </c>
      <c r="G80">
        <v>6</v>
      </c>
    </row>
    <row r="81" spans="1:7">
      <c r="A81" t="s">
        <v>153</v>
      </c>
      <c r="B81">
        <v>29</v>
      </c>
      <c r="C81" t="s">
        <v>131</v>
      </c>
      <c r="D81" t="s">
        <v>64</v>
      </c>
      <c r="E81">
        <v>39500</v>
      </c>
      <c r="F81">
        <v>19</v>
      </c>
      <c r="G81">
        <v>9</v>
      </c>
    </row>
    <row r="82" spans="1:7">
      <c r="A82" t="s">
        <v>154</v>
      </c>
      <c r="B82">
        <v>42</v>
      </c>
      <c r="C82" t="s">
        <v>131</v>
      </c>
      <c r="D82" t="s">
        <v>108</v>
      </c>
      <c r="E82">
        <v>63300</v>
      </c>
      <c r="F82">
        <v>5</v>
      </c>
      <c r="G82">
        <v>10</v>
      </c>
    </row>
    <row r="83" spans="1:7">
      <c r="A83" t="s">
        <v>155</v>
      </c>
      <c r="B83">
        <v>54</v>
      </c>
      <c r="C83" t="s">
        <v>131</v>
      </c>
      <c r="D83" t="s">
        <v>80</v>
      </c>
      <c r="E83">
        <v>47900</v>
      </c>
      <c r="F83">
        <v>8</v>
      </c>
      <c r="G83">
        <v>1</v>
      </c>
    </row>
    <row r="84" spans="1:7">
      <c r="A84" t="s">
        <v>137</v>
      </c>
      <c r="B84">
        <v>52</v>
      </c>
      <c r="C84" t="s">
        <v>131</v>
      </c>
      <c r="D84" t="s">
        <v>64</v>
      </c>
      <c r="E84">
        <v>34900</v>
      </c>
      <c r="F84">
        <v>9</v>
      </c>
      <c r="G84">
        <v>5</v>
      </c>
    </row>
    <row r="85" spans="1:7">
      <c r="A85" t="s">
        <v>156</v>
      </c>
      <c r="B85">
        <v>48</v>
      </c>
      <c r="C85" t="s">
        <v>131</v>
      </c>
      <c r="D85" t="s">
        <v>60</v>
      </c>
      <c r="E85">
        <v>57400</v>
      </c>
      <c r="F85">
        <v>1</v>
      </c>
      <c r="G85">
        <v>4</v>
      </c>
    </row>
    <row r="86" spans="1:7">
      <c r="A86" t="s">
        <v>157</v>
      </c>
      <c r="B86">
        <v>61</v>
      </c>
      <c r="C86" t="s">
        <v>131</v>
      </c>
      <c r="D86" t="s">
        <v>64</v>
      </c>
      <c r="E86">
        <v>19200</v>
      </c>
      <c r="F86">
        <v>6</v>
      </c>
      <c r="G86">
        <v>3</v>
      </c>
    </row>
    <row r="87" spans="1:7">
      <c r="A87" t="s">
        <v>158</v>
      </c>
      <c r="B87">
        <v>32</v>
      </c>
      <c r="C87" t="s">
        <v>131</v>
      </c>
      <c r="D87" t="s">
        <v>60</v>
      </c>
      <c r="E87">
        <v>49200</v>
      </c>
      <c r="F87">
        <v>6</v>
      </c>
      <c r="G87">
        <v>4</v>
      </c>
    </row>
    <row r="88" spans="1:7">
      <c r="A88" t="s">
        <v>159</v>
      </c>
      <c r="B88">
        <v>45</v>
      </c>
      <c r="C88" t="s">
        <v>131</v>
      </c>
      <c r="D88" t="s">
        <v>67</v>
      </c>
      <c r="E88">
        <v>27400</v>
      </c>
      <c r="F88">
        <v>11</v>
      </c>
      <c r="G88">
        <v>9</v>
      </c>
    </row>
    <row r="89" spans="1:7">
      <c r="A89" t="s">
        <v>160</v>
      </c>
      <c r="B89">
        <v>51</v>
      </c>
      <c r="C89" t="s">
        <v>131</v>
      </c>
      <c r="D89" t="s">
        <v>67</v>
      </c>
      <c r="E89">
        <v>33400</v>
      </c>
      <c r="F89">
        <v>6</v>
      </c>
      <c r="G89">
        <v>10</v>
      </c>
    </row>
    <row r="90" spans="1:7">
      <c r="A90" t="s">
        <v>161</v>
      </c>
      <c r="B90">
        <v>54</v>
      </c>
      <c r="C90" t="s">
        <v>131</v>
      </c>
      <c r="D90" t="s">
        <v>60</v>
      </c>
      <c r="E90">
        <v>40700</v>
      </c>
      <c r="F90">
        <v>10</v>
      </c>
      <c r="G90">
        <v>1</v>
      </c>
    </row>
    <row r="91" spans="1:7">
      <c r="A91" t="s">
        <v>162</v>
      </c>
      <c r="B91">
        <v>32</v>
      </c>
      <c r="C91" t="s">
        <v>131</v>
      </c>
      <c r="D91" t="s">
        <v>60</v>
      </c>
      <c r="E91">
        <v>42100</v>
      </c>
      <c r="F91">
        <v>2</v>
      </c>
      <c r="G91">
        <v>7</v>
      </c>
    </row>
    <row r="92" spans="1:7">
      <c r="A92" t="s">
        <v>163</v>
      </c>
      <c r="B92">
        <v>27</v>
      </c>
      <c r="C92" t="s">
        <v>131</v>
      </c>
      <c r="D92" t="s">
        <v>64</v>
      </c>
      <c r="E92">
        <v>40500</v>
      </c>
      <c r="F92">
        <v>3</v>
      </c>
      <c r="G92">
        <v>10</v>
      </c>
    </row>
    <row r="93" spans="1:7">
      <c r="A93" t="s">
        <v>164</v>
      </c>
      <c r="B93">
        <v>34</v>
      </c>
      <c r="C93" t="s">
        <v>131</v>
      </c>
      <c r="D93" t="s">
        <v>64</v>
      </c>
      <c r="E93">
        <v>35100</v>
      </c>
      <c r="F93">
        <v>6</v>
      </c>
      <c r="G93">
        <v>4</v>
      </c>
    </row>
    <row r="94" spans="1:7">
      <c r="A94" t="s">
        <v>165</v>
      </c>
      <c r="B94">
        <v>46</v>
      </c>
      <c r="C94" t="s">
        <v>131</v>
      </c>
      <c r="D94" t="s">
        <v>92</v>
      </c>
      <c r="E94">
        <v>22100</v>
      </c>
      <c r="F94">
        <v>2</v>
      </c>
      <c r="G94">
        <v>5</v>
      </c>
    </row>
    <row r="95" spans="1:7">
      <c r="A95" t="s">
        <v>166</v>
      </c>
      <c r="B95">
        <v>40</v>
      </c>
      <c r="C95" t="s">
        <v>131</v>
      </c>
      <c r="D95" t="s">
        <v>67</v>
      </c>
      <c r="E95">
        <v>23000</v>
      </c>
      <c r="F95">
        <v>4</v>
      </c>
      <c r="G95">
        <v>5</v>
      </c>
    </row>
    <row r="96" spans="1:7">
      <c r="A96" t="s">
        <v>167</v>
      </c>
      <c r="B96">
        <v>43</v>
      </c>
      <c r="C96" t="s">
        <v>131</v>
      </c>
      <c r="D96" t="s">
        <v>60</v>
      </c>
      <c r="E96">
        <v>54000</v>
      </c>
      <c r="F96">
        <v>3</v>
      </c>
      <c r="G96">
        <v>7</v>
      </c>
    </row>
    <row r="97" spans="1:7">
      <c r="A97" t="s">
        <v>168</v>
      </c>
      <c r="B97">
        <v>46</v>
      </c>
      <c r="C97" t="s">
        <v>131</v>
      </c>
      <c r="D97" t="s">
        <v>60</v>
      </c>
      <c r="E97">
        <v>48500</v>
      </c>
      <c r="F97">
        <v>1</v>
      </c>
      <c r="G97">
        <v>4</v>
      </c>
    </row>
    <row r="98" spans="1:7">
      <c r="A98" t="s">
        <v>169</v>
      </c>
      <c r="B98">
        <v>38</v>
      </c>
      <c r="C98" t="s">
        <v>170</v>
      </c>
      <c r="D98" t="s">
        <v>80</v>
      </c>
      <c r="E98">
        <v>55100</v>
      </c>
      <c r="F98">
        <v>3</v>
      </c>
      <c r="G98">
        <v>9</v>
      </c>
    </row>
    <row r="99" spans="1:7">
      <c r="A99" t="s">
        <v>171</v>
      </c>
      <c r="B99">
        <v>45</v>
      </c>
      <c r="C99" t="s">
        <v>170</v>
      </c>
      <c r="D99" t="s">
        <v>92</v>
      </c>
      <c r="E99">
        <v>23700</v>
      </c>
      <c r="F99">
        <v>8</v>
      </c>
      <c r="G99">
        <v>9</v>
      </c>
    </row>
    <row r="100" spans="1:7">
      <c r="A100" t="s">
        <v>172</v>
      </c>
      <c r="B100">
        <v>51</v>
      </c>
      <c r="C100" t="s">
        <v>170</v>
      </c>
      <c r="D100" t="s">
        <v>60</v>
      </c>
      <c r="E100">
        <v>85340</v>
      </c>
      <c r="F100">
        <v>11</v>
      </c>
      <c r="G100">
        <v>4</v>
      </c>
    </row>
    <row r="101" spans="1:7">
      <c r="A101" t="s">
        <v>173</v>
      </c>
      <c r="B101">
        <v>42</v>
      </c>
      <c r="C101" t="s">
        <v>170</v>
      </c>
      <c r="D101" t="s">
        <v>60</v>
      </c>
      <c r="E101">
        <v>34600</v>
      </c>
      <c r="F101">
        <v>3</v>
      </c>
      <c r="G101">
        <v>5</v>
      </c>
    </row>
    <row r="102" spans="1:7">
      <c r="A102" t="s">
        <v>174</v>
      </c>
      <c r="B102">
        <v>35</v>
      </c>
      <c r="C102" t="s">
        <v>170</v>
      </c>
      <c r="D102" t="s">
        <v>77</v>
      </c>
      <c r="E102">
        <v>51300</v>
      </c>
      <c r="F102">
        <v>1</v>
      </c>
      <c r="G102">
        <v>7</v>
      </c>
    </row>
  </sheetData>
  <mergeCells count="2">
    <mergeCell ref="T2:U2"/>
    <mergeCell ref="T3:X10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FC78-AE8F-4162-8D2A-4EBC11FFE17D}">
  <dimension ref="A1:R102"/>
  <sheetViews>
    <sheetView topLeftCell="G1" workbookViewId="0">
      <selection activeCell="J12" sqref="J12:O20"/>
    </sheetView>
  </sheetViews>
  <sheetFormatPr defaultColWidth="8.85546875" defaultRowHeight="14.45"/>
  <cols>
    <col min="1" max="1" width="18.42578125" bestFit="1" customWidth="1"/>
    <col min="2" max="2" width="4.28515625" bestFit="1" customWidth="1"/>
    <col min="3" max="3" width="7.42578125" bestFit="1" customWidth="1"/>
    <col min="4" max="4" width="32.42578125" bestFit="1" customWidth="1"/>
    <col min="5" max="5" width="9.28515625" bestFit="1" customWidth="1"/>
    <col min="6" max="6" width="16.5703125" bestFit="1" customWidth="1"/>
    <col min="7" max="7" width="17.85546875" bestFit="1" customWidth="1"/>
  </cols>
  <sheetData>
    <row r="1" spans="1:18">
      <c r="A1" t="s">
        <v>54</v>
      </c>
      <c r="B1" t="s">
        <v>44</v>
      </c>
      <c r="C1" t="s">
        <v>55</v>
      </c>
      <c r="D1" t="s">
        <v>56</v>
      </c>
      <c r="E1" t="s">
        <v>45</v>
      </c>
      <c r="F1" t="s">
        <v>46</v>
      </c>
      <c r="G1" t="s">
        <v>47</v>
      </c>
    </row>
    <row r="2" spans="1:18" ht="15">
      <c r="A2" t="s">
        <v>150</v>
      </c>
      <c r="B2">
        <v>15</v>
      </c>
      <c r="C2" t="s">
        <v>131</v>
      </c>
      <c r="D2" t="s">
        <v>77</v>
      </c>
      <c r="E2">
        <v>31600</v>
      </c>
      <c r="F2">
        <v>2</v>
      </c>
      <c r="G2">
        <v>6</v>
      </c>
    </row>
    <row r="3" spans="1:18" ht="15">
      <c r="A3" t="s">
        <v>163</v>
      </c>
      <c r="B3">
        <v>27</v>
      </c>
      <c r="C3" t="s">
        <v>131</v>
      </c>
      <c r="D3" t="s">
        <v>64</v>
      </c>
      <c r="E3">
        <v>40500</v>
      </c>
      <c r="F3">
        <v>3</v>
      </c>
      <c r="G3">
        <v>10</v>
      </c>
      <c r="J3" s="21" t="s">
        <v>359</v>
      </c>
    </row>
    <row r="4" spans="1:18" ht="15">
      <c r="A4" t="s">
        <v>148</v>
      </c>
      <c r="B4">
        <v>28</v>
      </c>
      <c r="C4" t="s">
        <v>131</v>
      </c>
      <c r="D4" t="s">
        <v>77</v>
      </c>
      <c r="E4">
        <v>30700</v>
      </c>
      <c r="F4">
        <v>3</v>
      </c>
      <c r="G4">
        <v>2</v>
      </c>
      <c r="J4" s="20" t="s">
        <v>44</v>
      </c>
      <c r="K4" s="61">
        <v>15</v>
      </c>
      <c r="L4" s="61"/>
      <c r="M4" s="61"/>
      <c r="N4" s="61"/>
      <c r="O4" s="61"/>
      <c r="P4" s="61"/>
      <c r="Q4" s="61"/>
      <c r="R4" s="61"/>
    </row>
    <row r="5" spans="1:18" ht="15">
      <c r="A5" t="s">
        <v>153</v>
      </c>
      <c r="B5">
        <v>29</v>
      </c>
      <c r="C5" t="s">
        <v>131</v>
      </c>
      <c r="D5" t="s">
        <v>64</v>
      </c>
      <c r="E5">
        <v>39500</v>
      </c>
      <c r="F5">
        <v>19</v>
      </c>
      <c r="G5">
        <v>9</v>
      </c>
      <c r="J5" s="20" t="s">
        <v>287</v>
      </c>
      <c r="K5" s="61">
        <v>85340</v>
      </c>
      <c r="L5" s="61"/>
      <c r="M5" s="61"/>
      <c r="N5" s="61"/>
      <c r="O5" s="61"/>
      <c r="P5" s="61"/>
      <c r="Q5" s="61"/>
      <c r="R5" s="61"/>
    </row>
    <row r="6" spans="1:18" ht="15">
      <c r="A6" t="s">
        <v>86</v>
      </c>
      <c r="B6">
        <v>29</v>
      </c>
      <c r="C6" t="s">
        <v>59</v>
      </c>
      <c r="D6" t="s">
        <v>60</v>
      </c>
      <c r="E6">
        <v>28000</v>
      </c>
      <c r="F6">
        <v>5</v>
      </c>
      <c r="G6">
        <v>8</v>
      </c>
      <c r="J6" s="20" t="s">
        <v>46</v>
      </c>
      <c r="K6" s="61" t="s">
        <v>360</v>
      </c>
      <c r="L6" s="61"/>
      <c r="M6" s="61"/>
      <c r="N6" s="61"/>
      <c r="O6" s="61"/>
      <c r="P6" s="61"/>
      <c r="Q6" s="61"/>
      <c r="R6" s="61"/>
    </row>
    <row r="7" spans="1:18" ht="15">
      <c r="A7" t="s">
        <v>147</v>
      </c>
      <c r="B7">
        <v>30</v>
      </c>
      <c r="C7" t="s">
        <v>131</v>
      </c>
      <c r="D7" t="s">
        <v>80</v>
      </c>
      <c r="E7">
        <v>42600</v>
      </c>
      <c r="F7">
        <v>15</v>
      </c>
      <c r="G7">
        <v>10</v>
      </c>
      <c r="J7" s="20" t="s">
        <v>47</v>
      </c>
      <c r="K7" s="61" t="s">
        <v>361</v>
      </c>
      <c r="L7" s="61"/>
      <c r="M7" s="61"/>
      <c r="N7" s="61"/>
      <c r="O7" s="61"/>
      <c r="P7" s="61"/>
      <c r="Q7" s="61"/>
      <c r="R7" s="61"/>
    </row>
    <row r="8" spans="1:18" ht="15">
      <c r="A8" t="s">
        <v>84</v>
      </c>
      <c r="B8">
        <v>31</v>
      </c>
      <c r="C8" t="s">
        <v>59</v>
      </c>
      <c r="D8" t="s">
        <v>60</v>
      </c>
      <c r="E8">
        <v>37000</v>
      </c>
      <c r="F8">
        <v>31</v>
      </c>
      <c r="G8">
        <v>8</v>
      </c>
    </row>
    <row r="9" spans="1:18" ht="15">
      <c r="A9" t="s">
        <v>109</v>
      </c>
      <c r="B9">
        <v>31</v>
      </c>
      <c r="C9" t="s">
        <v>59</v>
      </c>
      <c r="D9" t="s">
        <v>64</v>
      </c>
      <c r="E9">
        <v>29400</v>
      </c>
      <c r="F9">
        <v>12</v>
      </c>
      <c r="G9">
        <v>4</v>
      </c>
    </row>
    <row r="10" spans="1:18" ht="15" thickBot="1">
      <c r="A10" t="s">
        <v>158</v>
      </c>
      <c r="B10">
        <v>32</v>
      </c>
      <c r="C10" t="s">
        <v>131</v>
      </c>
      <c r="D10" t="s">
        <v>60</v>
      </c>
      <c r="E10">
        <v>49200</v>
      </c>
      <c r="F10">
        <v>6</v>
      </c>
      <c r="G10">
        <v>4</v>
      </c>
    </row>
    <row r="11" spans="1:18" ht="15" thickBot="1">
      <c r="A11" t="s">
        <v>145</v>
      </c>
      <c r="B11">
        <v>32</v>
      </c>
      <c r="C11" t="s">
        <v>131</v>
      </c>
      <c r="D11" t="s">
        <v>60</v>
      </c>
      <c r="E11">
        <v>49600</v>
      </c>
      <c r="F11">
        <v>5</v>
      </c>
      <c r="G11">
        <v>3</v>
      </c>
      <c r="J11" s="29" t="s">
        <v>57</v>
      </c>
      <c r="K11" s="30"/>
    </row>
    <row r="12" spans="1:18" ht="15">
      <c r="A12" t="s">
        <v>146</v>
      </c>
      <c r="B12">
        <v>32</v>
      </c>
      <c r="C12" t="s">
        <v>131</v>
      </c>
      <c r="D12" t="s">
        <v>60</v>
      </c>
      <c r="E12">
        <v>44100</v>
      </c>
      <c r="F12">
        <v>4</v>
      </c>
      <c r="G12">
        <v>4</v>
      </c>
      <c r="J12" s="52" t="s">
        <v>61</v>
      </c>
      <c r="K12" s="53"/>
      <c r="L12" s="53"/>
      <c r="M12" s="53"/>
      <c r="N12" s="53"/>
      <c r="O12" s="54"/>
    </row>
    <row r="13" spans="1:18" ht="15">
      <c r="A13" t="s">
        <v>162</v>
      </c>
      <c r="B13">
        <v>32</v>
      </c>
      <c r="C13" t="s">
        <v>131</v>
      </c>
      <c r="D13" t="s">
        <v>60</v>
      </c>
      <c r="E13">
        <v>42100</v>
      </c>
      <c r="F13">
        <v>2</v>
      </c>
      <c r="G13">
        <v>7</v>
      </c>
      <c r="J13" s="55"/>
      <c r="K13" s="56"/>
      <c r="L13" s="56"/>
      <c r="M13" s="56"/>
      <c r="N13" s="56"/>
      <c r="O13" s="57"/>
    </row>
    <row r="14" spans="1:18" ht="15">
      <c r="A14" t="s">
        <v>133</v>
      </c>
      <c r="B14">
        <v>32</v>
      </c>
      <c r="C14" t="s">
        <v>131</v>
      </c>
      <c r="D14" t="s">
        <v>64</v>
      </c>
      <c r="E14">
        <v>41200</v>
      </c>
      <c r="F14">
        <v>0</v>
      </c>
      <c r="G14">
        <v>6</v>
      </c>
      <c r="J14" s="55"/>
      <c r="K14" s="56"/>
      <c r="L14" s="56"/>
      <c r="M14" s="56"/>
      <c r="N14" s="56"/>
      <c r="O14" s="57"/>
    </row>
    <row r="15" spans="1:18" ht="15">
      <c r="A15" t="s">
        <v>121</v>
      </c>
      <c r="B15">
        <v>33</v>
      </c>
      <c r="C15" t="s">
        <v>59</v>
      </c>
      <c r="D15" t="s">
        <v>80</v>
      </c>
      <c r="E15">
        <v>56600</v>
      </c>
      <c r="F15">
        <v>6</v>
      </c>
      <c r="G15">
        <v>9</v>
      </c>
      <c r="J15" s="55"/>
      <c r="K15" s="56"/>
      <c r="L15" s="56"/>
      <c r="M15" s="56"/>
      <c r="N15" s="56"/>
      <c r="O15" s="57"/>
    </row>
    <row r="16" spans="1:18" ht="15">
      <c r="A16" t="s">
        <v>74</v>
      </c>
      <c r="B16">
        <v>33</v>
      </c>
      <c r="C16" t="s">
        <v>59</v>
      </c>
      <c r="D16" t="s">
        <v>60</v>
      </c>
      <c r="E16">
        <v>43300</v>
      </c>
      <c r="F16">
        <v>6</v>
      </c>
      <c r="G16">
        <v>2</v>
      </c>
      <c r="J16" s="55"/>
      <c r="K16" s="56"/>
      <c r="L16" s="56"/>
      <c r="M16" s="56"/>
      <c r="N16" s="56"/>
      <c r="O16" s="57"/>
    </row>
    <row r="17" spans="1:15" ht="15">
      <c r="A17" t="s">
        <v>164</v>
      </c>
      <c r="B17">
        <v>34</v>
      </c>
      <c r="C17" t="s">
        <v>131</v>
      </c>
      <c r="D17" t="s">
        <v>64</v>
      </c>
      <c r="E17">
        <v>35100</v>
      </c>
      <c r="F17">
        <v>6</v>
      </c>
      <c r="G17">
        <v>4</v>
      </c>
      <c r="J17" s="55"/>
      <c r="K17" s="56"/>
      <c r="L17" s="56"/>
      <c r="M17" s="56"/>
      <c r="N17" s="56"/>
      <c r="O17" s="57"/>
    </row>
    <row r="18" spans="1:15" ht="15">
      <c r="A18" t="s">
        <v>76</v>
      </c>
      <c r="B18">
        <v>34</v>
      </c>
      <c r="C18" t="s">
        <v>59</v>
      </c>
      <c r="D18" t="s">
        <v>77</v>
      </c>
      <c r="E18">
        <v>41100</v>
      </c>
      <c r="F18">
        <v>4</v>
      </c>
      <c r="G18">
        <v>1</v>
      </c>
      <c r="J18" s="55"/>
      <c r="K18" s="56"/>
      <c r="L18" s="56"/>
      <c r="M18" s="56"/>
      <c r="N18" s="56"/>
      <c r="O18" s="57"/>
    </row>
    <row r="19" spans="1:15" ht="15">
      <c r="A19" t="s">
        <v>79</v>
      </c>
      <c r="B19">
        <v>34</v>
      </c>
      <c r="C19" t="s">
        <v>59</v>
      </c>
      <c r="D19" t="s">
        <v>80</v>
      </c>
      <c r="E19">
        <v>41000</v>
      </c>
      <c r="F19">
        <v>3</v>
      </c>
      <c r="G19">
        <v>2</v>
      </c>
      <c r="J19" s="55"/>
      <c r="K19" s="56"/>
      <c r="L19" s="56"/>
      <c r="M19" s="56"/>
      <c r="N19" s="56"/>
      <c r="O19" s="57"/>
    </row>
    <row r="20" spans="1:15" ht="15" thickBot="1">
      <c r="A20" t="s">
        <v>62</v>
      </c>
      <c r="B20">
        <v>35</v>
      </c>
      <c r="C20" t="s">
        <v>59</v>
      </c>
      <c r="D20" t="s">
        <v>60</v>
      </c>
      <c r="E20">
        <v>51000</v>
      </c>
      <c r="F20">
        <v>10</v>
      </c>
      <c r="G20">
        <v>8</v>
      </c>
      <c r="J20" s="58"/>
      <c r="K20" s="59"/>
      <c r="L20" s="59"/>
      <c r="M20" s="59"/>
      <c r="N20" s="59"/>
      <c r="O20" s="60"/>
    </row>
    <row r="21" spans="1:15" ht="15">
      <c r="A21" t="s">
        <v>73</v>
      </c>
      <c r="B21">
        <v>35</v>
      </c>
      <c r="C21" t="s">
        <v>59</v>
      </c>
      <c r="D21" t="s">
        <v>60</v>
      </c>
      <c r="E21">
        <v>51400</v>
      </c>
      <c r="F21">
        <v>3</v>
      </c>
      <c r="G21">
        <v>5</v>
      </c>
    </row>
    <row r="22" spans="1:15" ht="15">
      <c r="A22" t="s">
        <v>82</v>
      </c>
      <c r="B22">
        <v>35</v>
      </c>
      <c r="C22" t="s">
        <v>59</v>
      </c>
      <c r="D22" t="s">
        <v>60</v>
      </c>
      <c r="E22">
        <v>64100</v>
      </c>
      <c r="F22">
        <v>1</v>
      </c>
      <c r="G22">
        <v>8</v>
      </c>
    </row>
    <row r="23" spans="1:15" ht="15">
      <c r="A23" t="s">
        <v>174</v>
      </c>
      <c r="B23">
        <v>35</v>
      </c>
      <c r="C23" t="s">
        <v>170</v>
      </c>
      <c r="D23" t="s">
        <v>77</v>
      </c>
      <c r="E23">
        <v>51300</v>
      </c>
      <c r="F23">
        <v>1</v>
      </c>
      <c r="G23">
        <v>7</v>
      </c>
    </row>
    <row r="24" spans="1:15" ht="15">
      <c r="A24" t="s">
        <v>120</v>
      </c>
      <c r="B24">
        <v>35</v>
      </c>
      <c r="C24" t="s">
        <v>59</v>
      </c>
      <c r="D24" t="s">
        <v>80</v>
      </c>
      <c r="E24">
        <v>32700</v>
      </c>
      <c r="F24">
        <v>0</v>
      </c>
      <c r="G24">
        <v>3</v>
      </c>
    </row>
    <row r="25" spans="1:15" ht="15">
      <c r="A25" t="s">
        <v>130</v>
      </c>
      <c r="B25">
        <v>36</v>
      </c>
      <c r="C25" t="s">
        <v>131</v>
      </c>
      <c r="D25" t="s">
        <v>60</v>
      </c>
      <c r="E25">
        <v>45600</v>
      </c>
      <c r="F25">
        <v>17</v>
      </c>
      <c r="G25">
        <v>7</v>
      </c>
    </row>
    <row r="26" spans="1:15" ht="15">
      <c r="A26" t="s">
        <v>85</v>
      </c>
      <c r="B26">
        <v>37</v>
      </c>
      <c r="C26" t="s">
        <v>59</v>
      </c>
      <c r="D26" t="s">
        <v>60</v>
      </c>
      <c r="E26">
        <v>44300</v>
      </c>
      <c r="F26">
        <v>10</v>
      </c>
      <c r="G26">
        <v>3</v>
      </c>
    </row>
    <row r="27" spans="1:15" ht="15">
      <c r="A27" t="s">
        <v>58</v>
      </c>
      <c r="B27">
        <v>38</v>
      </c>
      <c r="C27" t="s">
        <v>59</v>
      </c>
      <c r="D27" t="s">
        <v>60</v>
      </c>
      <c r="E27">
        <v>32600</v>
      </c>
      <c r="F27">
        <v>9</v>
      </c>
      <c r="G27">
        <v>4</v>
      </c>
    </row>
    <row r="28" spans="1:15" ht="15">
      <c r="A28" t="s">
        <v>169</v>
      </c>
      <c r="B28">
        <v>38</v>
      </c>
      <c r="C28" t="s">
        <v>170</v>
      </c>
      <c r="D28" t="s">
        <v>80</v>
      </c>
      <c r="E28">
        <v>55100</v>
      </c>
      <c r="F28">
        <v>3</v>
      </c>
      <c r="G28">
        <v>9</v>
      </c>
    </row>
    <row r="29" spans="1:15" ht="15">
      <c r="A29" t="s">
        <v>107</v>
      </c>
      <c r="B29">
        <v>38</v>
      </c>
      <c r="C29" t="s">
        <v>59</v>
      </c>
      <c r="D29" t="s">
        <v>108</v>
      </c>
      <c r="E29">
        <v>62600</v>
      </c>
      <c r="F29">
        <v>0</v>
      </c>
      <c r="G29">
        <v>4</v>
      </c>
    </row>
    <row r="30" spans="1:15" ht="15">
      <c r="A30" t="s">
        <v>98</v>
      </c>
      <c r="B30">
        <v>39</v>
      </c>
      <c r="C30" t="s">
        <v>59</v>
      </c>
      <c r="D30" t="s">
        <v>64</v>
      </c>
      <c r="E30">
        <v>31000</v>
      </c>
      <c r="F30">
        <v>44</v>
      </c>
      <c r="G30">
        <v>6</v>
      </c>
    </row>
    <row r="31" spans="1:15" ht="15">
      <c r="A31" t="s">
        <v>102</v>
      </c>
      <c r="B31">
        <v>40</v>
      </c>
      <c r="C31" t="s">
        <v>59</v>
      </c>
      <c r="D31" t="s">
        <v>60</v>
      </c>
      <c r="E31">
        <v>41500</v>
      </c>
      <c r="F31">
        <v>9</v>
      </c>
      <c r="G31">
        <v>9</v>
      </c>
    </row>
    <row r="32" spans="1:15">
      <c r="A32" t="s">
        <v>142</v>
      </c>
      <c r="B32">
        <v>40</v>
      </c>
      <c r="C32" t="s">
        <v>131</v>
      </c>
      <c r="D32" t="s">
        <v>60</v>
      </c>
      <c r="E32">
        <v>38900</v>
      </c>
      <c r="F32">
        <v>8</v>
      </c>
      <c r="G32">
        <v>3</v>
      </c>
    </row>
    <row r="33" spans="1:7" ht="15">
      <c r="A33" t="s">
        <v>78</v>
      </c>
      <c r="B33">
        <v>40</v>
      </c>
      <c r="C33" t="s">
        <v>59</v>
      </c>
      <c r="D33" t="s">
        <v>60</v>
      </c>
      <c r="E33">
        <v>37500</v>
      </c>
      <c r="F33">
        <v>7</v>
      </c>
      <c r="G33">
        <v>1</v>
      </c>
    </row>
    <row r="34" spans="1:7" ht="15">
      <c r="A34" t="s">
        <v>166</v>
      </c>
      <c r="B34">
        <v>40</v>
      </c>
      <c r="C34" t="s">
        <v>131</v>
      </c>
      <c r="D34" t="s">
        <v>67</v>
      </c>
      <c r="E34">
        <v>23000</v>
      </c>
      <c r="F34">
        <v>4</v>
      </c>
      <c r="G34">
        <v>5</v>
      </c>
    </row>
    <row r="35" spans="1:7" ht="15">
      <c r="A35" t="s">
        <v>63</v>
      </c>
      <c r="B35">
        <v>40</v>
      </c>
      <c r="C35" t="s">
        <v>59</v>
      </c>
      <c r="D35" t="s">
        <v>64</v>
      </c>
      <c r="E35">
        <v>27800</v>
      </c>
      <c r="F35">
        <v>0</v>
      </c>
      <c r="G35">
        <v>4</v>
      </c>
    </row>
    <row r="36" spans="1:7" ht="15">
      <c r="A36" t="s">
        <v>103</v>
      </c>
      <c r="B36">
        <v>42</v>
      </c>
      <c r="C36" t="s">
        <v>59</v>
      </c>
      <c r="D36" t="s">
        <v>60</v>
      </c>
      <c r="E36">
        <v>49900</v>
      </c>
      <c r="F36">
        <v>10</v>
      </c>
      <c r="G36">
        <v>6</v>
      </c>
    </row>
    <row r="37" spans="1:7" ht="15">
      <c r="A37" t="s">
        <v>97</v>
      </c>
      <c r="B37">
        <v>42</v>
      </c>
      <c r="C37" t="s">
        <v>59</v>
      </c>
      <c r="D37" t="s">
        <v>60</v>
      </c>
      <c r="E37">
        <v>50800</v>
      </c>
      <c r="F37">
        <v>6</v>
      </c>
      <c r="G37">
        <v>8</v>
      </c>
    </row>
    <row r="38" spans="1:7" ht="15">
      <c r="A38" t="s">
        <v>139</v>
      </c>
      <c r="B38">
        <v>42</v>
      </c>
      <c r="C38" t="s">
        <v>131</v>
      </c>
      <c r="D38" t="s">
        <v>60</v>
      </c>
      <c r="E38">
        <v>29500</v>
      </c>
      <c r="F38">
        <v>6</v>
      </c>
      <c r="G38">
        <v>4</v>
      </c>
    </row>
    <row r="39" spans="1:7" ht="15">
      <c r="A39" t="s">
        <v>154</v>
      </c>
      <c r="B39">
        <v>42</v>
      </c>
      <c r="C39" t="s">
        <v>131</v>
      </c>
      <c r="D39" t="s">
        <v>108</v>
      </c>
      <c r="E39">
        <v>63300</v>
      </c>
      <c r="F39">
        <v>5</v>
      </c>
      <c r="G39">
        <v>10</v>
      </c>
    </row>
    <row r="40" spans="1:7" ht="15">
      <c r="A40" t="s">
        <v>115</v>
      </c>
      <c r="B40">
        <v>42</v>
      </c>
      <c r="C40" t="s">
        <v>59</v>
      </c>
      <c r="D40" t="s">
        <v>80</v>
      </c>
      <c r="E40">
        <v>48700</v>
      </c>
      <c r="F40">
        <v>4</v>
      </c>
      <c r="G40">
        <v>1</v>
      </c>
    </row>
    <row r="41" spans="1:7" ht="15">
      <c r="A41" t="s">
        <v>132</v>
      </c>
      <c r="B41">
        <v>42</v>
      </c>
      <c r="C41" t="s">
        <v>131</v>
      </c>
      <c r="D41" t="s">
        <v>67</v>
      </c>
      <c r="E41">
        <v>29700</v>
      </c>
      <c r="F41">
        <v>4</v>
      </c>
      <c r="G41">
        <v>4</v>
      </c>
    </row>
    <row r="42" spans="1:7" ht="15">
      <c r="A42" t="s">
        <v>91</v>
      </c>
      <c r="B42">
        <v>42</v>
      </c>
      <c r="C42" t="s">
        <v>59</v>
      </c>
      <c r="D42" t="s">
        <v>92</v>
      </c>
      <c r="E42">
        <v>24200</v>
      </c>
      <c r="F42">
        <v>4</v>
      </c>
      <c r="G42">
        <v>8</v>
      </c>
    </row>
    <row r="43" spans="1:7" ht="15">
      <c r="A43" t="s">
        <v>149</v>
      </c>
      <c r="B43">
        <v>42</v>
      </c>
      <c r="C43" t="s">
        <v>131</v>
      </c>
      <c r="D43" t="s">
        <v>64</v>
      </c>
      <c r="E43">
        <v>44800</v>
      </c>
      <c r="F43">
        <v>3</v>
      </c>
      <c r="G43">
        <v>10</v>
      </c>
    </row>
    <row r="44" spans="1:7">
      <c r="A44" t="s">
        <v>173</v>
      </c>
      <c r="B44">
        <v>42</v>
      </c>
      <c r="C44" t="s">
        <v>170</v>
      </c>
      <c r="D44" t="s">
        <v>60</v>
      </c>
      <c r="E44">
        <v>34600</v>
      </c>
      <c r="F44">
        <v>3</v>
      </c>
      <c r="G44">
        <v>5</v>
      </c>
    </row>
    <row r="45" spans="1:7" ht="15">
      <c r="A45" t="s">
        <v>99</v>
      </c>
      <c r="B45">
        <v>42</v>
      </c>
      <c r="C45" t="s">
        <v>59</v>
      </c>
      <c r="D45" t="s">
        <v>92</v>
      </c>
      <c r="E45">
        <v>23000</v>
      </c>
      <c r="F45">
        <v>3</v>
      </c>
      <c r="G45">
        <v>10</v>
      </c>
    </row>
    <row r="46" spans="1:7" ht="15">
      <c r="A46" t="s">
        <v>138</v>
      </c>
      <c r="B46">
        <v>42</v>
      </c>
      <c r="C46" t="s">
        <v>131</v>
      </c>
      <c r="D46" t="s">
        <v>92</v>
      </c>
      <c r="E46">
        <v>18800</v>
      </c>
      <c r="F46">
        <v>3</v>
      </c>
      <c r="G46">
        <v>7</v>
      </c>
    </row>
    <row r="47" spans="1:7" ht="15">
      <c r="A47" t="s">
        <v>65</v>
      </c>
      <c r="B47">
        <v>43</v>
      </c>
      <c r="C47" t="s">
        <v>59</v>
      </c>
      <c r="D47" t="s">
        <v>64</v>
      </c>
      <c r="E47">
        <v>28700</v>
      </c>
      <c r="F47">
        <v>14</v>
      </c>
      <c r="G47">
        <v>9</v>
      </c>
    </row>
    <row r="48" spans="1:7" ht="15">
      <c r="A48" t="s">
        <v>83</v>
      </c>
      <c r="B48">
        <v>43</v>
      </c>
      <c r="C48" t="s">
        <v>59</v>
      </c>
      <c r="D48" t="s">
        <v>80</v>
      </c>
      <c r="E48">
        <v>56400</v>
      </c>
      <c r="F48">
        <v>11</v>
      </c>
      <c r="G48">
        <v>1</v>
      </c>
    </row>
    <row r="49" spans="1:7" ht="15">
      <c r="A49" t="s">
        <v>93</v>
      </c>
      <c r="B49">
        <v>43</v>
      </c>
      <c r="C49" t="s">
        <v>59</v>
      </c>
      <c r="D49" t="s">
        <v>60</v>
      </c>
      <c r="E49">
        <v>55100</v>
      </c>
      <c r="F49">
        <v>10</v>
      </c>
      <c r="G49">
        <v>1</v>
      </c>
    </row>
    <row r="50" spans="1:7" ht="15">
      <c r="A50" t="s">
        <v>167</v>
      </c>
      <c r="B50">
        <v>43</v>
      </c>
      <c r="C50" t="s">
        <v>131</v>
      </c>
      <c r="D50" t="s">
        <v>60</v>
      </c>
      <c r="E50">
        <v>54000</v>
      </c>
      <c r="F50">
        <v>3</v>
      </c>
      <c r="G50">
        <v>7</v>
      </c>
    </row>
    <row r="51" spans="1:7" ht="15">
      <c r="A51" t="s">
        <v>118</v>
      </c>
      <c r="B51">
        <v>43</v>
      </c>
      <c r="C51" t="s">
        <v>59</v>
      </c>
      <c r="D51" t="s">
        <v>67</v>
      </c>
      <c r="E51">
        <v>33700</v>
      </c>
      <c r="F51">
        <v>3</v>
      </c>
      <c r="G51">
        <v>8</v>
      </c>
    </row>
    <row r="52" spans="1:7" ht="15">
      <c r="A52" t="s">
        <v>125</v>
      </c>
      <c r="B52">
        <v>44</v>
      </c>
      <c r="C52" t="s">
        <v>59</v>
      </c>
      <c r="D52" t="s">
        <v>67</v>
      </c>
      <c r="E52">
        <v>30200</v>
      </c>
      <c r="F52">
        <v>19</v>
      </c>
      <c r="G52">
        <v>1</v>
      </c>
    </row>
    <row r="53" spans="1:7" ht="15">
      <c r="A53" t="s">
        <v>105</v>
      </c>
      <c r="B53">
        <v>44</v>
      </c>
      <c r="C53" t="s">
        <v>59</v>
      </c>
      <c r="D53" t="s">
        <v>64</v>
      </c>
      <c r="E53">
        <v>46100</v>
      </c>
      <c r="F53">
        <v>0</v>
      </c>
      <c r="G53">
        <v>9</v>
      </c>
    </row>
    <row r="54" spans="1:7" ht="15">
      <c r="A54" t="s">
        <v>159</v>
      </c>
      <c r="B54">
        <v>45</v>
      </c>
      <c r="C54" t="s">
        <v>131</v>
      </c>
      <c r="D54" t="s">
        <v>67</v>
      </c>
      <c r="E54">
        <v>27400</v>
      </c>
      <c r="F54">
        <v>11</v>
      </c>
      <c r="G54">
        <v>9</v>
      </c>
    </row>
    <row r="55" spans="1:7" ht="15">
      <c r="A55" t="s">
        <v>171</v>
      </c>
      <c r="B55">
        <v>45</v>
      </c>
      <c r="C55" t="s">
        <v>170</v>
      </c>
      <c r="D55" t="s">
        <v>92</v>
      </c>
      <c r="E55">
        <v>23700</v>
      </c>
      <c r="F55">
        <v>8</v>
      </c>
      <c r="G55">
        <v>9</v>
      </c>
    </row>
    <row r="56" spans="1:7" ht="15">
      <c r="A56" t="s">
        <v>100</v>
      </c>
      <c r="B56">
        <v>46</v>
      </c>
      <c r="C56" t="s">
        <v>59</v>
      </c>
      <c r="D56" t="s">
        <v>60</v>
      </c>
      <c r="E56">
        <v>53200</v>
      </c>
      <c r="F56">
        <v>11</v>
      </c>
      <c r="G56">
        <v>11</v>
      </c>
    </row>
    <row r="57" spans="1:7" ht="15">
      <c r="A57" t="s">
        <v>123</v>
      </c>
      <c r="B57">
        <v>46</v>
      </c>
      <c r="C57" t="s">
        <v>59</v>
      </c>
      <c r="D57" t="s">
        <v>108</v>
      </c>
      <c r="E57">
        <v>54500</v>
      </c>
      <c r="F57">
        <v>10</v>
      </c>
      <c r="G57">
        <v>5</v>
      </c>
    </row>
    <row r="58" spans="1:7" ht="15">
      <c r="A58" t="s">
        <v>90</v>
      </c>
      <c r="B58">
        <v>46</v>
      </c>
      <c r="C58" t="s">
        <v>59</v>
      </c>
      <c r="D58" t="s">
        <v>64</v>
      </c>
      <c r="E58">
        <v>31500</v>
      </c>
      <c r="F58">
        <v>2</v>
      </c>
      <c r="G58">
        <v>1</v>
      </c>
    </row>
    <row r="59" spans="1:7" ht="15">
      <c r="A59" t="s">
        <v>122</v>
      </c>
      <c r="B59">
        <v>46</v>
      </c>
      <c r="C59" t="s">
        <v>59</v>
      </c>
      <c r="D59" t="s">
        <v>92</v>
      </c>
      <c r="E59">
        <v>23000</v>
      </c>
      <c r="F59">
        <v>2</v>
      </c>
      <c r="G59">
        <v>7</v>
      </c>
    </row>
    <row r="60" spans="1:7" ht="15">
      <c r="A60" t="s">
        <v>165</v>
      </c>
      <c r="B60">
        <v>46</v>
      </c>
      <c r="C60" t="s">
        <v>131</v>
      </c>
      <c r="D60" t="s">
        <v>92</v>
      </c>
      <c r="E60">
        <v>22100</v>
      </c>
      <c r="F60">
        <v>2</v>
      </c>
      <c r="G60">
        <v>5</v>
      </c>
    </row>
    <row r="61" spans="1:7" ht="15">
      <c r="A61" t="s">
        <v>168</v>
      </c>
      <c r="B61">
        <v>46</v>
      </c>
      <c r="C61" t="s">
        <v>131</v>
      </c>
      <c r="D61" t="s">
        <v>60</v>
      </c>
      <c r="E61">
        <v>48500</v>
      </c>
      <c r="F61">
        <v>1</v>
      </c>
      <c r="G61">
        <v>4</v>
      </c>
    </row>
    <row r="62" spans="1:7" ht="15">
      <c r="A62" t="s">
        <v>117</v>
      </c>
      <c r="B62">
        <v>47</v>
      </c>
      <c r="C62" t="s">
        <v>59</v>
      </c>
      <c r="D62" t="s">
        <v>60</v>
      </c>
      <c r="E62">
        <v>53400</v>
      </c>
      <c r="F62">
        <v>8</v>
      </c>
      <c r="G62">
        <v>1</v>
      </c>
    </row>
    <row r="63" spans="1:7" ht="15">
      <c r="A63" t="s">
        <v>119</v>
      </c>
      <c r="B63">
        <v>48</v>
      </c>
      <c r="C63" t="s">
        <v>59</v>
      </c>
      <c r="D63" t="s">
        <v>64</v>
      </c>
      <c r="E63">
        <v>19900</v>
      </c>
      <c r="F63">
        <v>7</v>
      </c>
      <c r="G63">
        <v>6</v>
      </c>
    </row>
    <row r="64" spans="1:7" ht="15">
      <c r="A64" t="s">
        <v>106</v>
      </c>
      <c r="B64">
        <v>48</v>
      </c>
      <c r="C64" t="s">
        <v>59</v>
      </c>
      <c r="D64" t="s">
        <v>60</v>
      </c>
      <c r="E64">
        <v>37300</v>
      </c>
      <c r="F64">
        <v>4</v>
      </c>
      <c r="G64">
        <v>7</v>
      </c>
    </row>
    <row r="65" spans="1:7" ht="15">
      <c r="A65" t="s">
        <v>95</v>
      </c>
      <c r="B65">
        <v>48</v>
      </c>
      <c r="C65" t="s">
        <v>59</v>
      </c>
      <c r="D65" t="s">
        <v>92</v>
      </c>
      <c r="E65">
        <v>27100</v>
      </c>
      <c r="F65">
        <v>2</v>
      </c>
      <c r="G65">
        <v>3</v>
      </c>
    </row>
    <row r="66" spans="1:7" ht="15">
      <c r="A66" t="s">
        <v>156</v>
      </c>
      <c r="B66">
        <v>48</v>
      </c>
      <c r="C66" t="s">
        <v>131</v>
      </c>
      <c r="D66" t="s">
        <v>60</v>
      </c>
      <c r="E66">
        <v>57400</v>
      </c>
      <c r="F66">
        <v>1</v>
      </c>
      <c r="G66">
        <v>4</v>
      </c>
    </row>
    <row r="67" spans="1:7" ht="15">
      <c r="A67" t="s">
        <v>68</v>
      </c>
      <c r="B67">
        <v>49</v>
      </c>
      <c r="C67" t="s">
        <v>59</v>
      </c>
      <c r="D67" t="s">
        <v>60</v>
      </c>
      <c r="E67">
        <v>25200</v>
      </c>
      <c r="F67">
        <v>3</v>
      </c>
      <c r="G67">
        <v>8</v>
      </c>
    </row>
    <row r="68" spans="1:7" ht="15">
      <c r="A68" t="s">
        <v>114</v>
      </c>
      <c r="B68">
        <v>49</v>
      </c>
      <c r="C68" t="s">
        <v>59</v>
      </c>
      <c r="D68" t="s">
        <v>77</v>
      </c>
      <c r="E68">
        <v>51500</v>
      </c>
      <c r="F68">
        <v>0</v>
      </c>
      <c r="G68">
        <v>1</v>
      </c>
    </row>
    <row r="69" spans="1:7" ht="15">
      <c r="A69" t="s">
        <v>134</v>
      </c>
      <c r="B69">
        <v>50</v>
      </c>
      <c r="C69" t="s">
        <v>131</v>
      </c>
      <c r="D69" t="s">
        <v>64</v>
      </c>
      <c r="E69">
        <v>39800</v>
      </c>
      <c r="F69">
        <v>0</v>
      </c>
      <c r="G69">
        <v>5</v>
      </c>
    </row>
    <row r="70" spans="1:7" ht="15">
      <c r="A70" t="s">
        <v>172</v>
      </c>
      <c r="B70">
        <v>51</v>
      </c>
      <c r="C70" t="s">
        <v>170</v>
      </c>
      <c r="D70" t="s">
        <v>60</v>
      </c>
      <c r="E70">
        <v>85340</v>
      </c>
      <c r="F70">
        <v>11</v>
      </c>
      <c r="G70">
        <v>4</v>
      </c>
    </row>
    <row r="71" spans="1:7" ht="15">
      <c r="A71" t="s">
        <v>124</v>
      </c>
      <c r="B71">
        <v>51</v>
      </c>
      <c r="C71" t="s">
        <v>59</v>
      </c>
      <c r="D71" t="s">
        <v>60</v>
      </c>
      <c r="E71">
        <v>46200</v>
      </c>
      <c r="F71">
        <v>8</v>
      </c>
      <c r="G71">
        <v>7</v>
      </c>
    </row>
    <row r="72" spans="1:7" ht="15">
      <c r="A72" t="s">
        <v>160</v>
      </c>
      <c r="B72">
        <v>51</v>
      </c>
      <c r="C72" t="s">
        <v>131</v>
      </c>
      <c r="D72" t="s">
        <v>67</v>
      </c>
      <c r="E72">
        <v>33400</v>
      </c>
      <c r="F72">
        <v>6</v>
      </c>
      <c r="G72">
        <v>10</v>
      </c>
    </row>
    <row r="73" spans="1:7" ht="15">
      <c r="A73" t="s">
        <v>88</v>
      </c>
      <c r="B73">
        <v>51</v>
      </c>
      <c r="C73" t="s">
        <v>59</v>
      </c>
      <c r="D73" t="s">
        <v>60</v>
      </c>
      <c r="E73">
        <v>47200</v>
      </c>
      <c r="F73">
        <v>5</v>
      </c>
      <c r="G73">
        <v>8</v>
      </c>
    </row>
    <row r="74" spans="1:7" ht="15">
      <c r="A74" t="s">
        <v>112</v>
      </c>
      <c r="B74">
        <v>51</v>
      </c>
      <c r="C74" t="s">
        <v>59</v>
      </c>
      <c r="D74" t="s">
        <v>77</v>
      </c>
      <c r="E74">
        <v>45400</v>
      </c>
      <c r="F74">
        <v>5</v>
      </c>
      <c r="G74">
        <v>1</v>
      </c>
    </row>
    <row r="75" spans="1:7" ht="15">
      <c r="A75" t="s">
        <v>151</v>
      </c>
      <c r="B75">
        <v>52</v>
      </c>
      <c r="C75" t="s">
        <v>131</v>
      </c>
      <c r="D75" t="s">
        <v>64</v>
      </c>
      <c r="E75">
        <v>28500</v>
      </c>
      <c r="F75">
        <v>16</v>
      </c>
      <c r="G75">
        <v>6</v>
      </c>
    </row>
    <row r="76" spans="1:7" ht="15">
      <c r="A76" t="s">
        <v>137</v>
      </c>
      <c r="B76">
        <v>52</v>
      </c>
      <c r="C76" t="s">
        <v>131</v>
      </c>
      <c r="D76" t="s">
        <v>64</v>
      </c>
      <c r="E76">
        <v>34900</v>
      </c>
      <c r="F76">
        <v>9</v>
      </c>
      <c r="G76">
        <v>5</v>
      </c>
    </row>
    <row r="77" spans="1:7" ht="15">
      <c r="A77" t="s">
        <v>137</v>
      </c>
      <c r="B77">
        <v>52</v>
      </c>
      <c r="C77" t="s">
        <v>131</v>
      </c>
      <c r="D77" t="s">
        <v>64</v>
      </c>
      <c r="E77">
        <v>34900</v>
      </c>
      <c r="F77">
        <v>9</v>
      </c>
      <c r="G77">
        <v>5</v>
      </c>
    </row>
    <row r="78" spans="1:7" ht="15">
      <c r="A78" t="s">
        <v>144</v>
      </c>
      <c r="B78">
        <v>52</v>
      </c>
      <c r="C78" t="s">
        <v>131</v>
      </c>
      <c r="D78" t="s">
        <v>77</v>
      </c>
      <c r="E78">
        <v>60000</v>
      </c>
      <c r="F78">
        <v>6</v>
      </c>
      <c r="G78">
        <v>1</v>
      </c>
    </row>
    <row r="79" spans="1:7" ht="15">
      <c r="A79" t="s">
        <v>111</v>
      </c>
      <c r="B79">
        <v>52</v>
      </c>
      <c r="C79" t="s">
        <v>59</v>
      </c>
      <c r="D79" t="s">
        <v>80</v>
      </c>
      <c r="E79">
        <v>45600</v>
      </c>
      <c r="F79">
        <v>4</v>
      </c>
      <c r="G79">
        <v>9</v>
      </c>
    </row>
    <row r="80" spans="1:7" ht="15">
      <c r="A80" t="s">
        <v>96</v>
      </c>
      <c r="B80">
        <v>52</v>
      </c>
      <c r="C80" t="s">
        <v>59</v>
      </c>
      <c r="D80" t="s">
        <v>64</v>
      </c>
      <c r="E80">
        <v>45400</v>
      </c>
      <c r="F80">
        <v>2</v>
      </c>
      <c r="G80">
        <v>2</v>
      </c>
    </row>
    <row r="81" spans="1:7" ht="15">
      <c r="A81" t="s">
        <v>70</v>
      </c>
      <c r="B81">
        <v>52</v>
      </c>
      <c r="C81" t="s">
        <v>59</v>
      </c>
      <c r="D81" t="s">
        <v>64</v>
      </c>
      <c r="E81">
        <v>39100</v>
      </c>
      <c r="F81">
        <v>2</v>
      </c>
      <c r="G81">
        <v>7</v>
      </c>
    </row>
    <row r="82" spans="1:7" ht="15">
      <c r="A82" t="s">
        <v>101</v>
      </c>
      <c r="B82">
        <v>53</v>
      </c>
      <c r="C82" t="s">
        <v>59</v>
      </c>
      <c r="D82" t="s">
        <v>64</v>
      </c>
      <c r="E82">
        <v>39100</v>
      </c>
      <c r="F82">
        <v>7</v>
      </c>
      <c r="G82">
        <v>1</v>
      </c>
    </row>
    <row r="83" spans="1:7" ht="15">
      <c r="A83" t="s">
        <v>128</v>
      </c>
      <c r="B83">
        <v>53</v>
      </c>
      <c r="C83" t="s">
        <v>59</v>
      </c>
      <c r="D83" t="s">
        <v>92</v>
      </c>
      <c r="E83">
        <v>28100</v>
      </c>
      <c r="F83">
        <v>5</v>
      </c>
      <c r="G83">
        <v>2</v>
      </c>
    </row>
    <row r="84" spans="1:7" ht="15">
      <c r="A84" t="s">
        <v>94</v>
      </c>
      <c r="B84">
        <v>54</v>
      </c>
      <c r="C84" t="s">
        <v>59</v>
      </c>
      <c r="D84" t="s">
        <v>77</v>
      </c>
      <c r="E84">
        <v>37600</v>
      </c>
      <c r="F84">
        <v>15</v>
      </c>
      <c r="G84">
        <v>6</v>
      </c>
    </row>
    <row r="85" spans="1:7" ht="15">
      <c r="A85" t="s">
        <v>113</v>
      </c>
      <c r="B85">
        <v>54</v>
      </c>
      <c r="C85" t="s">
        <v>59</v>
      </c>
      <c r="D85" t="s">
        <v>67</v>
      </c>
      <c r="E85">
        <v>30500</v>
      </c>
      <c r="F85">
        <v>11</v>
      </c>
      <c r="G85">
        <v>8</v>
      </c>
    </row>
    <row r="86" spans="1:7" ht="15">
      <c r="A86" t="s">
        <v>161</v>
      </c>
      <c r="B86">
        <v>54</v>
      </c>
      <c r="C86" t="s">
        <v>131</v>
      </c>
      <c r="D86" t="s">
        <v>60</v>
      </c>
      <c r="E86">
        <v>40700</v>
      </c>
      <c r="F86">
        <v>10</v>
      </c>
      <c r="G86">
        <v>1</v>
      </c>
    </row>
    <row r="87" spans="1:7" ht="15">
      <c r="A87" t="s">
        <v>155</v>
      </c>
      <c r="B87">
        <v>54</v>
      </c>
      <c r="C87" t="s">
        <v>131</v>
      </c>
      <c r="D87" t="s">
        <v>80</v>
      </c>
      <c r="E87">
        <v>47900</v>
      </c>
      <c r="F87">
        <v>8</v>
      </c>
      <c r="G87">
        <v>1</v>
      </c>
    </row>
    <row r="88" spans="1:7" ht="15">
      <c r="A88" t="s">
        <v>110</v>
      </c>
      <c r="B88">
        <v>54</v>
      </c>
      <c r="C88" t="s">
        <v>59</v>
      </c>
      <c r="D88" t="s">
        <v>60</v>
      </c>
      <c r="E88">
        <v>53200</v>
      </c>
      <c r="F88">
        <v>2</v>
      </c>
      <c r="G88">
        <v>3</v>
      </c>
    </row>
    <row r="89" spans="1:7" ht="15">
      <c r="A89" t="s">
        <v>141</v>
      </c>
      <c r="B89">
        <v>54</v>
      </c>
      <c r="C89" t="s">
        <v>131</v>
      </c>
      <c r="D89" t="s">
        <v>108</v>
      </c>
      <c r="E89">
        <v>64900</v>
      </c>
      <c r="F89">
        <v>0</v>
      </c>
      <c r="G89">
        <v>4</v>
      </c>
    </row>
    <row r="90" spans="1:7" ht="15">
      <c r="A90" t="s">
        <v>126</v>
      </c>
      <c r="B90">
        <v>55</v>
      </c>
      <c r="C90" t="s">
        <v>59</v>
      </c>
      <c r="D90" t="s">
        <v>60</v>
      </c>
      <c r="E90">
        <v>59600</v>
      </c>
      <c r="F90">
        <v>13</v>
      </c>
      <c r="G90">
        <v>3</v>
      </c>
    </row>
    <row r="91" spans="1:7" ht="15">
      <c r="A91" t="s">
        <v>116</v>
      </c>
      <c r="B91">
        <v>55</v>
      </c>
      <c r="C91" t="s">
        <v>59</v>
      </c>
      <c r="D91" t="s">
        <v>60</v>
      </c>
      <c r="E91">
        <v>34200</v>
      </c>
      <c r="F91">
        <v>4</v>
      </c>
      <c r="G91">
        <v>6</v>
      </c>
    </row>
    <row r="92" spans="1:7" ht="15">
      <c r="A92" t="s">
        <v>75</v>
      </c>
      <c r="B92">
        <v>55</v>
      </c>
      <c r="C92" t="s">
        <v>59</v>
      </c>
      <c r="D92" t="s">
        <v>60</v>
      </c>
      <c r="E92">
        <v>46100</v>
      </c>
      <c r="F92">
        <v>3</v>
      </c>
      <c r="G92">
        <v>10</v>
      </c>
    </row>
    <row r="93" spans="1:7" ht="15">
      <c r="A93" t="s">
        <v>143</v>
      </c>
      <c r="B93">
        <v>55</v>
      </c>
      <c r="C93" t="s">
        <v>131</v>
      </c>
      <c r="D93" t="s">
        <v>80</v>
      </c>
      <c r="E93">
        <v>50100</v>
      </c>
      <c r="F93">
        <v>2</v>
      </c>
      <c r="G93">
        <v>5</v>
      </c>
    </row>
    <row r="94" spans="1:7" ht="15">
      <c r="A94" t="s">
        <v>81</v>
      </c>
      <c r="B94">
        <v>56</v>
      </c>
      <c r="C94" t="s">
        <v>59</v>
      </c>
      <c r="D94" t="s">
        <v>60</v>
      </c>
      <c r="E94">
        <v>48000</v>
      </c>
      <c r="F94">
        <v>6</v>
      </c>
      <c r="G94">
        <v>8</v>
      </c>
    </row>
    <row r="95" spans="1:7" ht="15">
      <c r="A95" t="s">
        <v>71</v>
      </c>
      <c r="B95">
        <v>56</v>
      </c>
      <c r="C95" t="s">
        <v>59</v>
      </c>
      <c r="D95" t="s">
        <v>64</v>
      </c>
      <c r="E95">
        <v>35600</v>
      </c>
      <c r="F95">
        <v>4</v>
      </c>
      <c r="G95">
        <v>4</v>
      </c>
    </row>
    <row r="96" spans="1:7" ht="15">
      <c r="A96" t="s">
        <v>127</v>
      </c>
      <c r="B96">
        <v>57</v>
      </c>
      <c r="C96" t="s">
        <v>59</v>
      </c>
      <c r="D96" t="s">
        <v>67</v>
      </c>
      <c r="E96">
        <v>34800</v>
      </c>
      <c r="F96">
        <v>9</v>
      </c>
      <c r="G96">
        <v>2</v>
      </c>
    </row>
    <row r="97" spans="1:7" ht="15">
      <c r="A97" t="s">
        <v>129</v>
      </c>
      <c r="B97">
        <v>57</v>
      </c>
      <c r="C97" t="s">
        <v>59</v>
      </c>
      <c r="D97" t="s">
        <v>64</v>
      </c>
      <c r="E97">
        <v>19300</v>
      </c>
      <c r="F97">
        <v>0</v>
      </c>
      <c r="G97">
        <v>4</v>
      </c>
    </row>
    <row r="98" spans="1:7" ht="15">
      <c r="A98" t="s">
        <v>87</v>
      </c>
      <c r="B98">
        <v>60</v>
      </c>
      <c r="C98" t="s">
        <v>59</v>
      </c>
      <c r="D98" t="s">
        <v>60</v>
      </c>
      <c r="E98">
        <v>38200</v>
      </c>
      <c r="F98">
        <v>6</v>
      </c>
      <c r="G98">
        <v>3</v>
      </c>
    </row>
    <row r="99" spans="1:7" ht="15">
      <c r="A99" t="s">
        <v>136</v>
      </c>
      <c r="B99">
        <v>61</v>
      </c>
      <c r="C99" t="s">
        <v>131</v>
      </c>
      <c r="D99" t="s">
        <v>60</v>
      </c>
      <c r="E99">
        <v>59600</v>
      </c>
      <c r="F99">
        <v>8</v>
      </c>
      <c r="G99">
        <v>4</v>
      </c>
    </row>
    <row r="100" spans="1:7" ht="15">
      <c r="A100" t="s">
        <v>157</v>
      </c>
      <c r="B100">
        <v>61</v>
      </c>
      <c r="C100" t="s">
        <v>131</v>
      </c>
      <c r="D100" t="s">
        <v>64</v>
      </c>
      <c r="E100">
        <v>19200</v>
      </c>
      <c r="F100">
        <v>6</v>
      </c>
      <c r="G100">
        <v>3</v>
      </c>
    </row>
    <row r="101" spans="1:7" ht="15">
      <c r="A101" t="s">
        <v>104</v>
      </c>
      <c r="B101">
        <v>61</v>
      </c>
      <c r="C101" t="s">
        <v>59</v>
      </c>
      <c r="D101" t="s">
        <v>64</v>
      </c>
      <c r="E101">
        <v>35500</v>
      </c>
      <c r="F101">
        <v>0</v>
      </c>
      <c r="G101">
        <v>10</v>
      </c>
    </row>
    <row r="102" spans="1:7" ht="15">
      <c r="A102" t="s">
        <v>66</v>
      </c>
      <c r="B102">
        <v>62</v>
      </c>
      <c r="C102" t="s">
        <v>59</v>
      </c>
      <c r="D102" t="s">
        <v>67</v>
      </c>
      <c r="E102">
        <v>15500</v>
      </c>
      <c r="F102">
        <v>17</v>
      </c>
      <c r="G102">
        <v>3</v>
      </c>
    </row>
  </sheetData>
  <autoFilter ref="A1:G102" xr:uid="{E843FC78-AE8F-4162-8D2A-4EBC11FFE17D}">
    <sortState xmlns:xlrd2="http://schemas.microsoft.com/office/spreadsheetml/2017/richdata2" ref="A2:G102">
      <sortCondition ref="B1:B102"/>
    </sortState>
  </autoFilter>
  <mergeCells count="6">
    <mergeCell ref="J11:K11"/>
    <mergeCell ref="J12:O20"/>
    <mergeCell ref="K4:R4"/>
    <mergeCell ref="K5:R5"/>
    <mergeCell ref="K6:R6"/>
    <mergeCell ref="K7:R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0BDF-45EC-4A2E-8F1C-551103489857}">
  <dimension ref="A1:O102"/>
  <sheetViews>
    <sheetView tabSelected="1" topLeftCell="C1" workbookViewId="0">
      <selection activeCell="I20" sqref="I20"/>
    </sheetView>
  </sheetViews>
  <sheetFormatPr defaultColWidth="8.85546875" defaultRowHeight="14.45"/>
  <cols>
    <col min="1" max="1" width="20.5703125" bestFit="1" customWidth="1"/>
    <col min="2" max="2" width="7.42578125" bestFit="1" customWidth="1"/>
    <col min="3" max="3" width="32.42578125" bestFit="1" customWidth="1"/>
    <col min="4" max="4" width="9.28515625" bestFit="1" customWidth="1"/>
    <col min="6" max="6" width="32.42578125" bestFit="1" customWidth="1"/>
    <col min="7" max="10" width="11.7109375" bestFit="1" customWidth="1"/>
  </cols>
  <sheetData>
    <row r="1" spans="1:15">
      <c r="A1" t="s">
        <v>176</v>
      </c>
      <c r="B1" t="s">
        <v>55</v>
      </c>
      <c r="C1" t="s">
        <v>56</v>
      </c>
      <c r="D1" t="s">
        <v>45</v>
      </c>
    </row>
    <row r="2" spans="1:15" ht="15" thickBot="1">
      <c r="A2" t="s">
        <v>177</v>
      </c>
      <c r="B2" t="s">
        <v>59</v>
      </c>
      <c r="C2" t="s">
        <v>60</v>
      </c>
      <c r="D2">
        <v>32600</v>
      </c>
      <c r="F2" s="27" t="s">
        <v>362</v>
      </c>
      <c r="G2" s="27" t="s">
        <v>55</v>
      </c>
    </row>
    <row r="3" spans="1:15" ht="15" thickBot="1">
      <c r="A3" t="s">
        <v>178</v>
      </c>
      <c r="B3" t="s">
        <v>59</v>
      </c>
      <c r="C3" t="s">
        <v>60</v>
      </c>
      <c r="D3">
        <v>51000</v>
      </c>
      <c r="F3" s="27" t="s">
        <v>56</v>
      </c>
      <c r="G3" t="s">
        <v>131</v>
      </c>
      <c r="H3" t="s">
        <v>59</v>
      </c>
      <c r="I3" t="s">
        <v>170</v>
      </c>
      <c r="J3" t="s">
        <v>363</v>
      </c>
      <c r="K3" s="29" t="s">
        <v>57</v>
      </c>
      <c r="L3" s="30"/>
    </row>
    <row r="4" spans="1:15" ht="15">
      <c r="A4" t="s">
        <v>179</v>
      </c>
      <c r="B4" t="s">
        <v>59</v>
      </c>
      <c r="C4" t="s">
        <v>64</v>
      </c>
      <c r="D4">
        <v>27800</v>
      </c>
      <c r="F4" t="s">
        <v>92</v>
      </c>
      <c r="G4" s="28">
        <v>20450</v>
      </c>
      <c r="H4" s="28">
        <v>25080</v>
      </c>
      <c r="I4" s="28">
        <v>23700</v>
      </c>
      <c r="J4" s="28">
        <v>23750</v>
      </c>
      <c r="K4" s="31" t="s">
        <v>61</v>
      </c>
      <c r="L4" s="32"/>
      <c r="M4" s="32"/>
      <c r="N4" s="32"/>
      <c r="O4" s="33"/>
    </row>
    <row r="5" spans="1:15">
      <c r="A5" t="s">
        <v>180</v>
      </c>
      <c r="B5" t="s">
        <v>59</v>
      </c>
      <c r="C5" t="s">
        <v>64</v>
      </c>
      <c r="D5">
        <v>28700</v>
      </c>
      <c r="F5" t="s">
        <v>80</v>
      </c>
      <c r="G5" s="28">
        <v>46866.666666666664</v>
      </c>
      <c r="H5" s="28">
        <v>46833.333333333336</v>
      </c>
      <c r="I5" s="28">
        <v>55100</v>
      </c>
      <c r="J5" s="28">
        <v>47670</v>
      </c>
      <c r="K5" s="34"/>
      <c r="L5" s="35"/>
      <c r="M5" s="35"/>
      <c r="N5" s="35"/>
      <c r="O5" s="36"/>
    </row>
    <row r="6" spans="1:15">
      <c r="A6" t="s">
        <v>181</v>
      </c>
      <c r="B6" t="s">
        <v>59</v>
      </c>
      <c r="C6" t="s">
        <v>67</v>
      </c>
      <c r="D6">
        <v>15500</v>
      </c>
      <c r="F6" t="s">
        <v>60</v>
      </c>
      <c r="G6" s="28">
        <v>46600</v>
      </c>
      <c r="H6" s="28">
        <v>45132</v>
      </c>
      <c r="I6" s="28">
        <v>59970</v>
      </c>
      <c r="J6" s="28">
        <v>46344.615384615383</v>
      </c>
      <c r="K6" s="34"/>
      <c r="L6" s="35"/>
      <c r="M6" s="35"/>
      <c r="N6" s="35"/>
      <c r="O6" s="36"/>
    </row>
    <row r="7" spans="1:15">
      <c r="A7" t="s">
        <v>182</v>
      </c>
      <c r="B7" t="s">
        <v>59</v>
      </c>
      <c r="C7" t="s">
        <v>60</v>
      </c>
      <c r="D7">
        <v>25200</v>
      </c>
      <c r="F7" t="s">
        <v>77</v>
      </c>
      <c r="G7" s="28">
        <v>40766.666666666664</v>
      </c>
      <c r="H7" s="28">
        <v>43900</v>
      </c>
      <c r="I7" s="28">
        <v>51300</v>
      </c>
      <c r="J7" s="28">
        <v>43650</v>
      </c>
      <c r="K7" s="34"/>
      <c r="L7" s="35"/>
      <c r="M7" s="35"/>
      <c r="N7" s="35"/>
      <c r="O7" s="36"/>
    </row>
    <row r="8" spans="1:15">
      <c r="A8" t="s">
        <v>183</v>
      </c>
      <c r="B8" t="s">
        <v>59</v>
      </c>
      <c r="C8" t="s">
        <v>64</v>
      </c>
      <c r="D8">
        <v>39100</v>
      </c>
      <c r="F8" t="s">
        <v>67</v>
      </c>
      <c r="G8" s="28">
        <v>28375</v>
      </c>
      <c r="H8" s="28">
        <v>28940</v>
      </c>
      <c r="I8" s="28"/>
      <c r="J8" s="28">
        <v>28688.888888888891</v>
      </c>
      <c r="K8" s="34"/>
      <c r="L8" s="35"/>
      <c r="M8" s="35"/>
      <c r="N8" s="35"/>
      <c r="O8" s="36"/>
    </row>
    <row r="9" spans="1:15">
      <c r="A9" t="s">
        <v>184</v>
      </c>
      <c r="B9" t="s">
        <v>59</v>
      </c>
      <c r="C9" t="s">
        <v>64</v>
      </c>
      <c r="D9">
        <v>35600</v>
      </c>
      <c r="F9" t="s">
        <v>108</v>
      </c>
      <c r="G9" s="28">
        <v>64100</v>
      </c>
      <c r="H9" s="28">
        <v>58550</v>
      </c>
      <c r="I9" s="28"/>
      <c r="J9" s="28">
        <v>61325</v>
      </c>
      <c r="K9" s="34"/>
      <c r="L9" s="35"/>
      <c r="M9" s="35"/>
      <c r="N9" s="35"/>
      <c r="O9" s="36"/>
    </row>
    <row r="10" spans="1:15">
      <c r="A10" t="s">
        <v>185</v>
      </c>
      <c r="B10" t="s">
        <v>59</v>
      </c>
      <c r="C10" t="s">
        <v>60</v>
      </c>
      <c r="D10">
        <v>51400</v>
      </c>
      <c r="F10" t="s">
        <v>64</v>
      </c>
      <c r="G10" s="28">
        <v>35840</v>
      </c>
      <c r="H10" s="28">
        <v>32953.846153846156</v>
      </c>
      <c r="I10" s="28"/>
      <c r="J10" s="28">
        <v>34208.695652173912</v>
      </c>
      <c r="K10" s="34"/>
      <c r="L10" s="35"/>
      <c r="M10" s="35"/>
      <c r="N10" s="35"/>
      <c r="O10" s="36"/>
    </row>
    <row r="11" spans="1:15" ht="15" thickBot="1">
      <c r="A11" t="s">
        <v>186</v>
      </c>
      <c r="B11" t="s">
        <v>59</v>
      </c>
      <c r="C11" t="s">
        <v>60</v>
      </c>
      <c r="D11">
        <v>43300</v>
      </c>
      <c r="F11" t="s">
        <v>363</v>
      </c>
      <c r="G11" s="28">
        <v>40641.666666666664</v>
      </c>
      <c r="H11" s="28">
        <v>40008.333333333336</v>
      </c>
      <c r="I11" s="28">
        <v>50008</v>
      </c>
      <c r="J11" s="28">
        <v>40729.108910891089</v>
      </c>
      <c r="K11" s="37"/>
      <c r="L11" s="38"/>
      <c r="M11" s="38"/>
      <c r="N11" s="38"/>
      <c r="O11" s="39"/>
    </row>
    <row r="12" spans="1:15">
      <c r="A12" t="s">
        <v>187</v>
      </c>
      <c r="B12" t="s">
        <v>59</v>
      </c>
      <c r="C12" t="s">
        <v>60</v>
      </c>
      <c r="D12">
        <v>46100</v>
      </c>
    </row>
    <row r="13" spans="1:15">
      <c r="A13" t="s">
        <v>188</v>
      </c>
      <c r="B13" t="s">
        <v>59</v>
      </c>
      <c r="C13" t="s">
        <v>77</v>
      </c>
      <c r="D13">
        <v>41100</v>
      </c>
    </row>
    <row r="14" spans="1:15">
      <c r="A14" t="s">
        <v>189</v>
      </c>
      <c r="B14" t="s">
        <v>59</v>
      </c>
      <c r="C14" t="s">
        <v>60</v>
      </c>
      <c r="D14">
        <v>37500</v>
      </c>
    </row>
    <row r="15" spans="1:15">
      <c r="A15" t="s">
        <v>190</v>
      </c>
      <c r="B15" t="s">
        <v>59</v>
      </c>
      <c r="C15" t="s">
        <v>80</v>
      </c>
      <c r="D15">
        <v>41000</v>
      </c>
    </row>
    <row r="16" spans="1:15">
      <c r="A16" t="s">
        <v>191</v>
      </c>
      <c r="B16" t="s">
        <v>59</v>
      </c>
      <c r="C16" t="s">
        <v>60</v>
      </c>
      <c r="D16">
        <v>48000</v>
      </c>
    </row>
    <row r="17" spans="1:4">
      <c r="A17" t="s">
        <v>192</v>
      </c>
      <c r="B17" t="s">
        <v>59</v>
      </c>
      <c r="C17" t="s">
        <v>60</v>
      </c>
      <c r="D17">
        <v>64100</v>
      </c>
    </row>
    <row r="18" spans="1:4">
      <c r="A18" t="s">
        <v>193</v>
      </c>
      <c r="B18" t="s">
        <v>59</v>
      </c>
      <c r="C18" t="s">
        <v>80</v>
      </c>
      <c r="D18">
        <v>56400</v>
      </c>
    </row>
    <row r="19" spans="1:4">
      <c r="A19" t="s">
        <v>194</v>
      </c>
      <c r="B19" t="s">
        <v>59</v>
      </c>
      <c r="C19" t="s">
        <v>60</v>
      </c>
      <c r="D19">
        <v>37000</v>
      </c>
    </row>
    <row r="20" spans="1:4">
      <c r="A20" t="s">
        <v>195</v>
      </c>
      <c r="B20" t="s">
        <v>59</v>
      </c>
      <c r="C20" t="s">
        <v>60</v>
      </c>
      <c r="D20">
        <v>44300</v>
      </c>
    </row>
    <row r="21" spans="1:4">
      <c r="A21" t="s">
        <v>196</v>
      </c>
      <c r="B21" t="s">
        <v>59</v>
      </c>
      <c r="C21" t="s">
        <v>60</v>
      </c>
      <c r="D21">
        <v>28000</v>
      </c>
    </row>
    <row r="22" spans="1:4">
      <c r="A22" t="s">
        <v>197</v>
      </c>
      <c r="B22" t="s">
        <v>59</v>
      </c>
      <c r="C22" t="s">
        <v>60</v>
      </c>
      <c r="D22">
        <v>38200</v>
      </c>
    </row>
    <row r="23" spans="1:4">
      <c r="A23" t="s">
        <v>198</v>
      </c>
      <c r="B23" t="s">
        <v>59</v>
      </c>
      <c r="C23" t="s">
        <v>60</v>
      </c>
      <c r="D23">
        <v>47200</v>
      </c>
    </row>
    <row r="24" spans="1:4">
      <c r="A24" t="s">
        <v>199</v>
      </c>
      <c r="B24" t="s">
        <v>59</v>
      </c>
      <c r="C24" t="s">
        <v>64</v>
      </c>
      <c r="D24">
        <v>31500</v>
      </c>
    </row>
    <row r="25" spans="1:4">
      <c r="A25" t="s">
        <v>200</v>
      </c>
      <c r="B25" t="s">
        <v>59</v>
      </c>
      <c r="C25" t="s">
        <v>92</v>
      </c>
      <c r="D25">
        <v>24200</v>
      </c>
    </row>
    <row r="26" spans="1:4">
      <c r="A26" t="s">
        <v>201</v>
      </c>
      <c r="B26" t="s">
        <v>59</v>
      </c>
      <c r="C26" t="s">
        <v>60</v>
      </c>
      <c r="D26">
        <v>55100</v>
      </c>
    </row>
    <row r="27" spans="1:4">
      <c r="A27" t="s">
        <v>202</v>
      </c>
      <c r="B27" t="s">
        <v>59</v>
      </c>
      <c r="C27" t="s">
        <v>77</v>
      </c>
      <c r="D27">
        <v>37600</v>
      </c>
    </row>
    <row r="28" spans="1:4">
      <c r="A28" t="s">
        <v>203</v>
      </c>
      <c r="B28" t="s">
        <v>59</v>
      </c>
      <c r="C28" t="s">
        <v>92</v>
      </c>
      <c r="D28">
        <v>27100</v>
      </c>
    </row>
    <row r="29" spans="1:4">
      <c r="A29" t="s">
        <v>204</v>
      </c>
      <c r="B29" t="s">
        <v>59</v>
      </c>
      <c r="C29" t="s">
        <v>64</v>
      </c>
      <c r="D29">
        <v>45400</v>
      </c>
    </row>
    <row r="30" spans="1:4">
      <c r="A30" t="s">
        <v>205</v>
      </c>
      <c r="B30" t="s">
        <v>59</v>
      </c>
      <c r="C30" t="s">
        <v>60</v>
      </c>
      <c r="D30">
        <v>50800</v>
      </c>
    </row>
    <row r="31" spans="1:4">
      <c r="A31" t="s">
        <v>206</v>
      </c>
      <c r="B31" t="s">
        <v>59</v>
      </c>
      <c r="C31" t="s">
        <v>64</v>
      </c>
      <c r="D31">
        <v>31000</v>
      </c>
    </row>
    <row r="32" spans="1:4">
      <c r="A32" t="s">
        <v>207</v>
      </c>
      <c r="B32" t="s">
        <v>59</v>
      </c>
      <c r="C32" t="s">
        <v>92</v>
      </c>
      <c r="D32">
        <v>23000</v>
      </c>
    </row>
    <row r="33" spans="1:4">
      <c r="A33" t="s">
        <v>208</v>
      </c>
      <c r="B33" t="s">
        <v>59</v>
      </c>
      <c r="C33" t="s">
        <v>60</v>
      </c>
      <c r="D33">
        <v>53200</v>
      </c>
    </row>
    <row r="34" spans="1:4">
      <c r="A34" t="s">
        <v>209</v>
      </c>
      <c r="B34" t="s">
        <v>59</v>
      </c>
      <c r="C34" t="s">
        <v>64</v>
      </c>
      <c r="D34">
        <v>39100</v>
      </c>
    </row>
    <row r="35" spans="1:4">
      <c r="A35" t="s">
        <v>210</v>
      </c>
      <c r="B35" t="s">
        <v>59</v>
      </c>
      <c r="C35" t="s">
        <v>60</v>
      </c>
      <c r="D35">
        <v>41500</v>
      </c>
    </row>
    <row r="36" spans="1:4">
      <c r="A36" t="s">
        <v>211</v>
      </c>
      <c r="B36" t="s">
        <v>59</v>
      </c>
      <c r="C36" t="s">
        <v>60</v>
      </c>
      <c r="D36">
        <v>49900</v>
      </c>
    </row>
    <row r="37" spans="1:4">
      <c r="A37" t="s">
        <v>212</v>
      </c>
      <c r="B37" t="s">
        <v>59</v>
      </c>
      <c r="C37" t="s">
        <v>64</v>
      </c>
      <c r="D37">
        <v>35500</v>
      </c>
    </row>
    <row r="38" spans="1:4">
      <c r="A38" t="s">
        <v>213</v>
      </c>
      <c r="B38" t="s">
        <v>59</v>
      </c>
      <c r="C38" t="s">
        <v>64</v>
      </c>
      <c r="D38">
        <v>46100</v>
      </c>
    </row>
    <row r="39" spans="1:4">
      <c r="A39" t="s">
        <v>214</v>
      </c>
      <c r="B39" t="s">
        <v>59</v>
      </c>
      <c r="C39" t="s">
        <v>60</v>
      </c>
      <c r="D39">
        <v>37300</v>
      </c>
    </row>
    <row r="40" spans="1:4">
      <c r="A40" t="s">
        <v>215</v>
      </c>
      <c r="B40" t="s">
        <v>59</v>
      </c>
      <c r="C40" t="s">
        <v>108</v>
      </c>
      <c r="D40">
        <v>62600</v>
      </c>
    </row>
    <row r="41" spans="1:4">
      <c r="A41" t="s">
        <v>216</v>
      </c>
      <c r="B41" t="s">
        <v>59</v>
      </c>
      <c r="C41" t="s">
        <v>64</v>
      </c>
      <c r="D41">
        <v>29400</v>
      </c>
    </row>
    <row r="42" spans="1:4">
      <c r="A42" t="s">
        <v>217</v>
      </c>
      <c r="B42" t="s">
        <v>59</v>
      </c>
      <c r="C42" t="s">
        <v>60</v>
      </c>
      <c r="D42">
        <v>53200</v>
      </c>
    </row>
    <row r="43" spans="1:4">
      <c r="A43" t="s">
        <v>218</v>
      </c>
      <c r="B43" t="s">
        <v>59</v>
      </c>
      <c r="C43" t="s">
        <v>80</v>
      </c>
      <c r="D43">
        <v>45600</v>
      </c>
    </row>
    <row r="44" spans="1:4">
      <c r="A44" t="s">
        <v>219</v>
      </c>
      <c r="B44" t="s">
        <v>59</v>
      </c>
      <c r="C44" t="s">
        <v>77</v>
      </c>
      <c r="D44">
        <v>45400</v>
      </c>
    </row>
    <row r="45" spans="1:4">
      <c r="A45" t="s">
        <v>220</v>
      </c>
      <c r="B45" t="s">
        <v>59</v>
      </c>
      <c r="C45" t="s">
        <v>67</v>
      </c>
      <c r="D45">
        <v>30500</v>
      </c>
    </row>
    <row r="46" spans="1:4">
      <c r="A46" t="s">
        <v>221</v>
      </c>
      <c r="B46" t="s">
        <v>59</v>
      </c>
      <c r="C46" t="s">
        <v>77</v>
      </c>
      <c r="D46">
        <v>51500</v>
      </c>
    </row>
    <row r="47" spans="1:4">
      <c r="A47" t="s">
        <v>222</v>
      </c>
      <c r="B47" t="s">
        <v>59</v>
      </c>
      <c r="C47" t="s">
        <v>80</v>
      </c>
      <c r="D47">
        <v>48700</v>
      </c>
    </row>
    <row r="48" spans="1:4">
      <c r="A48" t="s">
        <v>223</v>
      </c>
      <c r="B48" t="s">
        <v>59</v>
      </c>
      <c r="C48" t="s">
        <v>60</v>
      </c>
      <c r="D48">
        <v>34200</v>
      </c>
    </row>
    <row r="49" spans="1:4">
      <c r="A49" t="s">
        <v>224</v>
      </c>
      <c r="B49" t="s">
        <v>59</v>
      </c>
      <c r="C49" t="s">
        <v>60</v>
      </c>
      <c r="D49">
        <v>53400</v>
      </c>
    </row>
    <row r="50" spans="1:4">
      <c r="A50" t="s">
        <v>225</v>
      </c>
      <c r="B50" t="s">
        <v>59</v>
      </c>
      <c r="C50" t="s">
        <v>67</v>
      </c>
      <c r="D50">
        <v>33700</v>
      </c>
    </row>
    <row r="51" spans="1:4">
      <c r="A51" t="s">
        <v>226</v>
      </c>
      <c r="B51" t="s">
        <v>59</v>
      </c>
      <c r="C51" t="s">
        <v>64</v>
      </c>
      <c r="D51">
        <v>19900</v>
      </c>
    </row>
    <row r="52" spans="1:4">
      <c r="A52" t="s">
        <v>227</v>
      </c>
      <c r="B52" t="s">
        <v>59</v>
      </c>
      <c r="C52" t="s">
        <v>80</v>
      </c>
      <c r="D52">
        <v>32700</v>
      </c>
    </row>
    <row r="53" spans="1:4">
      <c r="A53" t="s">
        <v>228</v>
      </c>
      <c r="B53" t="s">
        <v>59</v>
      </c>
      <c r="C53" t="s">
        <v>80</v>
      </c>
      <c r="D53">
        <v>56600</v>
      </c>
    </row>
    <row r="54" spans="1:4">
      <c r="A54" t="s">
        <v>229</v>
      </c>
      <c r="B54" t="s">
        <v>59</v>
      </c>
      <c r="C54" t="s">
        <v>92</v>
      </c>
      <c r="D54">
        <v>23000</v>
      </c>
    </row>
    <row r="55" spans="1:4">
      <c r="A55" t="s">
        <v>230</v>
      </c>
      <c r="B55" t="s">
        <v>59</v>
      </c>
      <c r="C55" t="s">
        <v>108</v>
      </c>
      <c r="D55">
        <v>54500</v>
      </c>
    </row>
    <row r="56" spans="1:4">
      <c r="A56" t="s">
        <v>231</v>
      </c>
      <c r="B56" t="s">
        <v>59</v>
      </c>
      <c r="C56" t="s">
        <v>60</v>
      </c>
      <c r="D56">
        <v>46200</v>
      </c>
    </row>
    <row r="57" spans="1:4">
      <c r="A57" t="s">
        <v>232</v>
      </c>
      <c r="B57" t="s">
        <v>59</v>
      </c>
      <c r="C57" t="s">
        <v>67</v>
      </c>
      <c r="D57">
        <v>30200</v>
      </c>
    </row>
    <row r="58" spans="1:4">
      <c r="A58" t="s">
        <v>233</v>
      </c>
      <c r="B58" t="s">
        <v>59</v>
      </c>
      <c r="C58" t="s">
        <v>60</v>
      </c>
      <c r="D58">
        <v>59600</v>
      </c>
    </row>
    <row r="59" spans="1:4">
      <c r="A59" t="s">
        <v>234</v>
      </c>
      <c r="B59" t="s">
        <v>59</v>
      </c>
      <c r="C59" t="s">
        <v>67</v>
      </c>
      <c r="D59">
        <v>34800</v>
      </c>
    </row>
    <row r="60" spans="1:4">
      <c r="A60" t="s">
        <v>235</v>
      </c>
      <c r="B60" t="s">
        <v>59</v>
      </c>
      <c r="C60" t="s">
        <v>92</v>
      </c>
      <c r="D60">
        <v>28100</v>
      </c>
    </row>
    <row r="61" spans="1:4">
      <c r="A61" t="s">
        <v>236</v>
      </c>
      <c r="B61" t="s">
        <v>59</v>
      </c>
      <c r="C61" t="s">
        <v>64</v>
      </c>
      <c r="D61">
        <v>19300</v>
      </c>
    </row>
    <row r="62" spans="1:4">
      <c r="A62" t="s">
        <v>237</v>
      </c>
      <c r="B62" t="s">
        <v>131</v>
      </c>
      <c r="C62" t="s">
        <v>60</v>
      </c>
      <c r="D62">
        <v>45600</v>
      </c>
    </row>
    <row r="63" spans="1:4">
      <c r="A63" t="s">
        <v>238</v>
      </c>
      <c r="B63" t="s">
        <v>131</v>
      </c>
      <c r="C63" t="s">
        <v>67</v>
      </c>
      <c r="D63">
        <v>29700</v>
      </c>
    </row>
    <row r="64" spans="1:4">
      <c r="A64" t="s">
        <v>239</v>
      </c>
      <c r="B64" t="s">
        <v>131</v>
      </c>
      <c r="C64" t="s">
        <v>64</v>
      </c>
      <c r="D64">
        <v>41200</v>
      </c>
    </row>
    <row r="65" spans="1:4">
      <c r="A65" t="s">
        <v>240</v>
      </c>
      <c r="B65" t="s">
        <v>131</v>
      </c>
      <c r="C65" t="s">
        <v>64</v>
      </c>
      <c r="D65">
        <v>39800</v>
      </c>
    </row>
    <row r="66" spans="1:4">
      <c r="A66" t="s">
        <v>241</v>
      </c>
      <c r="B66" t="s">
        <v>131</v>
      </c>
      <c r="C66" t="s">
        <v>60</v>
      </c>
      <c r="D66">
        <v>59600</v>
      </c>
    </row>
    <row r="67" spans="1:4">
      <c r="A67" t="s">
        <v>242</v>
      </c>
      <c r="B67" t="s">
        <v>131</v>
      </c>
      <c r="C67" t="s">
        <v>64</v>
      </c>
      <c r="D67">
        <v>34900</v>
      </c>
    </row>
    <row r="68" spans="1:4">
      <c r="A68" t="s">
        <v>243</v>
      </c>
      <c r="B68" t="s">
        <v>131</v>
      </c>
      <c r="C68" t="s">
        <v>92</v>
      </c>
      <c r="D68">
        <v>18800</v>
      </c>
    </row>
    <row r="69" spans="1:4">
      <c r="A69" t="s">
        <v>244</v>
      </c>
      <c r="B69" t="s">
        <v>131</v>
      </c>
      <c r="C69" t="s">
        <v>60</v>
      </c>
      <c r="D69">
        <v>29500</v>
      </c>
    </row>
    <row r="70" spans="1:4">
      <c r="A70" t="s">
        <v>245</v>
      </c>
      <c r="B70" t="s">
        <v>131</v>
      </c>
      <c r="C70" t="s">
        <v>108</v>
      </c>
      <c r="D70">
        <v>64900</v>
      </c>
    </row>
    <row r="71" spans="1:4">
      <c r="A71" t="s">
        <v>246</v>
      </c>
      <c r="B71" t="s">
        <v>131</v>
      </c>
      <c r="C71" t="s">
        <v>60</v>
      </c>
      <c r="D71">
        <v>38900</v>
      </c>
    </row>
    <row r="72" spans="1:4">
      <c r="A72" t="s">
        <v>247</v>
      </c>
      <c r="B72" t="s">
        <v>131</v>
      </c>
      <c r="C72" t="s">
        <v>80</v>
      </c>
      <c r="D72">
        <v>50100</v>
      </c>
    </row>
    <row r="73" spans="1:4">
      <c r="A73" t="s">
        <v>248</v>
      </c>
      <c r="B73" t="s">
        <v>131</v>
      </c>
      <c r="C73" t="s">
        <v>77</v>
      </c>
      <c r="D73">
        <v>60000</v>
      </c>
    </row>
    <row r="74" spans="1:4">
      <c r="A74" t="s">
        <v>249</v>
      </c>
      <c r="B74" t="s">
        <v>131</v>
      </c>
      <c r="C74" t="s">
        <v>60</v>
      </c>
      <c r="D74">
        <v>49600</v>
      </c>
    </row>
    <row r="75" spans="1:4">
      <c r="A75" t="s">
        <v>250</v>
      </c>
      <c r="B75" t="s">
        <v>131</v>
      </c>
      <c r="C75" t="s">
        <v>60</v>
      </c>
      <c r="D75">
        <v>44100</v>
      </c>
    </row>
    <row r="76" spans="1:4">
      <c r="A76" t="s">
        <v>251</v>
      </c>
      <c r="B76" t="s">
        <v>131</v>
      </c>
      <c r="C76" t="s">
        <v>80</v>
      </c>
      <c r="D76">
        <v>42600</v>
      </c>
    </row>
    <row r="77" spans="1:4">
      <c r="A77" t="s">
        <v>252</v>
      </c>
      <c r="B77" t="s">
        <v>131</v>
      </c>
      <c r="C77" t="s">
        <v>77</v>
      </c>
      <c r="D77">
        <v>30700</v>
      </c>
    </row>
    <row r="78" spans="1:4">
      <c r="A78" t="s">
        <v>253</v>
      </c>
      <c r="B78" t="s">
        <v>131</v>
      </c>
      <c r="C78" t="s">
        <v>64</v>
      </c>
      <c r="D78">
        <v>44800</v>
      </c>
    </row>
    <row r="79" spans="1:4">
      <c r="A79" t="s">
        <v>254</v>
      </c>
      <c r="B79" t="s">
        <v>131</v>
      </c>
      <c r="C79" t="s">
        <v>77</v>
      </c>
      <c r="D79">
        <v>31600</v>
      </c>
    </row>
    <row r="80" spans="1:4">
      <c r="A80" t="s">
        <v>255</v>
      </c>
      <c r="B80" t="s">
        <v>131</v>
      </c>
      <c r="C80" t="s">
        <v>64</v>
      </c>
      <c r="D80">
        <v>28500</v>
      </c>
    </row>
    <row r="81" spans="1:4">
      <c r="A81" t="s">
        <v>256</v>
      </c>
      <c r="B81" t="s">
        <v>131</v>
      </c>
      <c r="C81" t="s">
        <v>64</v>
      </c>
      <c r="D81">
        <v>39500</v>
      </c>
    </row>
    <row r="82" spans="1:4">
      <c r="A82" t="s">
        <v>257</v>
      </c>
      <c r="B82" t="s">
        <v>131</v>
      </c>
      <c r="C82" t="s">
        <v>108</v>
      </c>
      <c r="D82">
        <v>63300</v>
      </c>
    </row>
    <row r="83" spans="1:4">
      <c r="A83" t="s">
        <v>258</v>
      </c>
      <c r="B83" t="s">
        <v>131</v>
      </c>
      <c r="C83" t="s">
        <v>80</v>
      </c>
      <c r="D83">
        <v>47900</v>
      </c>
    </row>
    <row r="84" spans="1:4">
      <c r="A84" t="s">
        <v>259</v>
      </c>
      <c r="B84" t="s">
        <v>131</v>
      </c>
      <c r="C84" t="s">
        <v>64</v>
      </c>
      <c r="D84">
        <v>34900</v>
      </c>
    </row>
    <row r="85" spans="1:4">
      <c r="A85" t="s">
        <v>260</v>
      </c>
      <c r="B85" t="s">
        <v>131</v>
      </c>
      <c r="C85" t="s">
        <v>60</v>
      </c>
      <c r="D85">
        <v>57400</v>
      </c>
    </row>
    <row r="86" spans="1:4">
      <c r="A86" t="s">
        <v>261</v>
      </c>
      <c r="B86" t="s">
        <v>131</v>
      </c>
      <c r="C86" t="s">
        <v>64</v>
      </c>
      <c r="D86">
        <v>19200</v>
      </c>
    </row>
    <row r="87" spans="1:4">
      <c r="A87" t="s">
        <v>262</v>
      </c>
      <c r="B87" t="s">
        <v>131</v>
      </c>
      <c r="C87" t="s">
        <v>60</v>
      </c>
      <c r="D87">
        <v>49200</v>
      </c>
    </row>
    <row r="88" spans="1:4">
      <c r="A88" t="s">
        <v>263</v>
      </c>
      <c r="B88" t="s">
        <v>131</v>
      </c>
      <c r="C88" t="s">
        <v>67</v>
      </c>
      <c r="D88">
        <v>27400</v>
      </c>
    </row>
    <row r="89" spans="1:4">
      <c r="A89" t="s">
        <v>264</v>
      </c>
      <c r="B89" t="s">
        <v>131</v>
      </c>
      <c r="C89" t="s">
        <v>67</v>
      </c>
      <c r="D89">
        <v>33400</v>
      </c>
    </row>
    <row r="90" spans="1:4">
      <c r="A90" t="s">
        <v>265</v>
      </c>
      <c r="B90" t="s">
        <v>131</v>
      </c>
      <c r="C90" t="s">
        <v>60</v>
      </c>
      <c r="D90">
        <v>40700</v>
      </c>
    </row>
    <row r="91" spans="1:4">
      <c r="A91" t="s">
        <v>266</v>
      </c>
      <c r="B91" t="s">
        <v>131</v>
      </c>
      <c r="C91" t="s">
        <v>60</v>
      </c>
      <c r="D91">
        <v>42100</v>
      </c>
    </row>
    <row r="92" spans="1:4">
      <c r="A92" t="s">
        <v>267</v>
      </c>
      <c r="B92" t="s">
        <v>131</v>
      </c>
      <c r="C92" t="s">
        <v>64</v>
      </c>
      <c r="D92">
        <v>40500</v>
      </c>
    </row>
    <row r="93" spans="1:4">
      <c r="A93" t="s">
        <v>268</v>
      </c>
      <c r="B93" t="s">
        <v>131</v>
      </c>
      <c r="C93" t="s">
        <v>64</v>
      </c>
      <c r="D93">
        <v>35100</v>
      </c>
    </row>
    <row r="94" spans="1:4">
      <c r="A94" t="s">
        <v>269</v>
      </c>
      <c r="B94" t="s">
        <v>131</v>
      </c>
      <c r="C94" t="s">
        <v>92</v>
      </c>
      <c r="D94">
        <v>22100</v>
      </c>
    </row>
    <row r="95" spans="1:4">
      <c r="A95" t="s">
        <v>270</v>
      </c>
      <c r="B95" t="s">
        <v>131</v>
      </c>
      <c r="C95" t="s">
        <v>67</v>
      </c>
      <c r="D95">
        <v>23000</v>
      </c>
    </row>
    <row r="96" spans="1:4">
      <c r="A96" t="s">
        <v>271</v>
      </c>
      <c r="B96" t="s">
        <v>131</v>
      </c>
      <c r="C96" t="s">
        <v>60</v>
      </c>
      <c r="D96">
        <v>54000</v>
      </c>
    </row>
    <row r="97" spans="1:4">
      <c r="A97" t="s">
        <v>272</v>
      </c>
      <c r="B97" t="s">
        <v>131</v>
      </c>
      <c r="C97" t="s">
        <v>60</v>
      </c>
      <c r="D97">
        <v>48500</v>
      </c>
    </row>
    <row r="98" spans="1:4">
      <c r="A98" t="s">
        <v>273</v>
      </c>
      <c r="B98" t="s">
        <v>170</v>
      </c>
      <c r="C98" t="s">
        <v>80</v>
      </c>
      <c r="D98">
        <v>55100</v>
      </c>
    </row>
    <row r="99" spans="1:4">
      <c r="A99" t="s">
        <v>274</v>
      </c>
      <c r="B99" t="s">
        <v>170</v>
      </c>
      <c r="C99" t="s">
        <v>92</v>
      </c>
      <c r="D99">
        <v>23700</v>
      </c>
    </row>
    <row r="100" spans="1:4">
      <c r="A100" t="s">
        <v>275</v>
      </c>
      <c r="B100" t="s">
        <v>170</v>
      </c>
      <c r="C100" t="s">
        <v>60</v>
      </c>
      <c r="D100">
        <v>85340</v>
      </c>
    </row>
    <row r="101" spans="1:4">
      <c r="A101" t="s">
        <v>276</v>
      </c>
      <c r="B101" t="s">
        <v>170</v>
      </c>
      <c r="C101" t="s">
        <v>60</v>
      </c>
      <c r="D101">
        <v>34600</v>
      </c>
    </row>
    <row r="102" spans="1:4">
      <c r="A102" t="s">
        <v>277</v>
      </c>
      <c r="B102" t="s">
        <v>170</v>
      </c>
      <c r="C102" t="s">
        <v>77</v>
      </c>
      <c r="D102">
        <v>51300</v>
      </c>
    </row>
  </sheetData>
  <mergeCells count="2">
    <mergeCell ref="K3:L3"/>
    <mergeCell ref="K4:O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7477-21E3-45B9-A149-332E3B4686DE}">
  <dimension ref="A3:E12"/>
  <sheetViews>
    <sheetView workbookViewId="0">
      <selection activeCell="A3" sqref="A3"/>
    </sheetView>
  </sheetViews>
  <sheetFormatPr defaultRowHeight="15"/>
  <cols>
    <col min="1" max="1" width="32.42578125" bestFit="1" customWidth="1"/>
    <col min="2" max="5" width="11.7109375" bestFit="1" customWidth="1"/>
    <col min="6" max="92" width="6.5703125" bestFit="1" customWidth="1"/>
    <col min="93" max="93" width="11.42578125" bestFit="1" customWidth="1"/>
  </cols>
  <sheetData>
    <row r="3" spans="1:5">
      <c r="A3" s="27" t="s">
        <v>362</v>
      </c>
      <c r="B3" s="27" t="s">
        <v>55</v>
      </c>
    </row>
    <row r="4" spans="1:5">
      <c r="A4" s="27" t="s">
        <v>56</v>
      </c>
      <c r="B4" t="s">
        <v>131</v>
      </c>
      <c r="C4" t="s">
        <v>59</v>
      </c>
      <c r="D4" t="s">
        <v>170</v>
      </c>
      <c r="E4" t="s">
        <v>363</v>
      </c>
    </row>
    <row r="5" spans="1:5">
      <c r="A5" t="s">
        <v>92</v>
      </c>
      <c r="B5" s="28">
        <v>20450</v>
      </c>
      <c r="C5" s="28">
        <v>25080</v>
      </c>
      <c r="D5" s="28">
        <v>23700</v>
      </c>
      <c r="E5" s="28">
        <v>23750</v>
      </c>
    </row>
    <row r="6" spans="1:5">
      <c r="A6" t="s">
        <v>80</v>
      </c>
      <c r="B6" s="28">
        <v>46866.666666666664</v>
      </c>
      <c r="C6" s="28">
        <v>46833.333333333336</v>
      </c>
      <c r="D6" s="28">
        <v>55100</v>
      </c>
      <c r="E6" s="28">
        <v>47670</v>
      </c>
    </row>
    <row r="7" spans="1:5">
      <c r="A7" t="s">
        <v>60</v>
      </c>
      <c r="B7" s="28">
        <v>46600</v>
      </c>
      <c r="C7" s="28">
        <v>45132</v>
      </c>
      <c r="D7" s="28">
        <v>59970</v>
      </c>
      <c r="E7" s="28">
        <v>46344.615384615383</v>
      </c>
    </row>
    <row r="8" spans="1:5">
      <c r="A8" t="s">
        <v>77</v>
      </c>
      <c r="B8" s="28">
        <v>40766.666666666664</v>
      </c>
      <c r="C8" s="28">
        <v>43900</v>
      </c>
      <c r="D8" s="28">
        <v>51300</v>
      </c>
      <c r="E8" s="28">
        <v>43650</v>
      </c>
    </row>
    <row r="9" spans="1:5">
      <c r="A9" t="s">
        <v>67</v>
      </c>
      <c r="B9" s="28">
        <v>28375</v>
      </c>
      <c r="C9" s="28">
        <v>28940</v>
      </c>
      <c r="D9" s="28"/>
      <c r="E9" s="28">
        <v>28688.888888888891</v>
      </c>
    </row>
    <row r="10" spans="1:5">
      <c r="A10" t="s">
        <v>108</v>
      </c>
      <c r="B10" s="28">
        <v>64100</v>
      </c>
      <c r="C10" s="28">
        <v>58550</v>
      </c>
      <c r="D10" s="28"/>
      <c r="E10" s="28">
        <v>61325</v>
      </c>
    </row>
    <row r="11" spans="1:5">
      <c r="A11" t="s">
        <v>64</v>
      </c>
      <c r="B11" s="28">
        <v>35840</v>
      </c>
      <c r="C11" s="28">
        <v>32953.846153846156</v>
      </c>
      <c r="D11" s="28"/>
      <c r="E11" s="28">
        <v>34208.695652173912</v>
      </c>
    </row>
    <row r="12" spans="1:5">
      <c r="A12" t="s">
        <v>363</v>
      </c>
      <c r="B12" s="28">
        <v>40641.666666666664</v>
      </c>
      <c r="C12" s="28">
        <v>40008.333333333336</v>
      </c>
      <c r="D12" s="28">
        <v>50008</v>
      </c>
      <c r="E12" s="28">
        <v>40729.108910891089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1d43237-9295-4b66-ab09-4652979fcb1f" xsi:nil="true"/>
    <TaxCatchAll xmlns="8afd1c45-05ff-4ef7-abc6-a2432f65e657" xsi:nil="true"/>
    <lcf76f155ced4ddcb4097134ff3c332f xmlns="31d43237-9295-4b66-ab09-4652979fcb1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0CE55D9C65534CA10AE2CBE271F8EE" ma:contentTypeVersion="11" ma:contentTypeDescription="Create a new document." ma:contentTypeScope="" ma:versionID="181dae58ac47697f722ed1c05c978c60">
  <xsd:schema xmlns:xsd="http://www.w3.org/2001/XMLSchema" xmlns:xs="http://www.w3.org/2001/XMLSchema" xmlns:p="http://schemas.microsoft.com/office/2006/metadata/properties" xmlns:ns2="31d43237-9295-4b66-ab09-4652979fcb1f" xmlns:ns3="8afd1c45-05ff-4ef7-abc6-a2432f65e657" targetNamespace="http://schemas.microsoft.com/office/2006/metadata/properties" ma:root="true" ma:fieldsID="f45095c90189775a58b3b6136309ea67" ns2:_="" ns3:_="">
    <xsd:import namespace="31d43237-9295-4b66-ab09-4652979fcb1f"/>
    <xsd:import namespace="8afd1c45-05ff-4ef7-abc6-a2432f65e65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43237-9295-4b66-ab09-4652979fcb1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f491e78-420f-4edb-9831-7a9dfb4c0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d1c45-05ff-4ef7-abc6-a2432f65e65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0710902-954d-4fa2-9cf4-3bb8fb3a54a9}" ma:internalName="TaxCatchAll" ma:showField="CatchAllData" ma:web="8afd1c45-05ff-4ef7-abc6-a2432f65e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50951-0E81-4D86-B9E8-F6BDBF0B8A35}"/>
</file>

<file path=customXml/itemProps2.xml><?xml version="1.0" encoding="utf-8"?>
<ds:datastoreItem xmlns:ds="http://schemas.openxmlformats.org/officeDocument/2006/customXml" ds:itemID="{B48060C0-BE0A-4E5F-88BE-DF9758929EC6}"/>
</file>

<file path=customXml/itemProps3.xml><?xml version="1.0" encoding="utf-8"?>
<ds:datastoreItem xmlns:ds="http://schemas.openxmlformats.org/officeDocument/2006/customXml" ds:itemID="{DB0B44ED-E48B-4242-8083-CE9B56EAC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McCarthy</dc:creator>
  <cp:keywords/>
  <dc:description/>
  <cp:lastModifiedBy/>
  <cp:revision/>
  <dcterms:created xsi:type="dcterms:W3CDTF">2025-08-30T09:42:47Z</dcterms:created>
  <dcterms:modified xsi:type="dcterms:W3CDTF">2026-08-13T22:41:46Z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0x010100330CE55D9C65534CA10AE2CBE271F8EE</vt:lpwstr>
  </property>
  <property fmtid="{D5CDD505-2E9C-101B-9397-08002B2CF9AE}" pid="3" name="MediaServiceImageTags">
    <vt:lpwstr/>
  </property>
  <property fmtid="{D5CDD505-2E9C-101B-9397-08002B2CF9AE}" pid="4" name="Order">
    <vt:r8>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