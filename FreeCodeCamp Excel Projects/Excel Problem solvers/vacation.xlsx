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551E65C4-6657-455D-91F3-5500794BB40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I30" i="1"/>
  <c r="H30" i="1"/>
  <c r="J24" i="1"/>
  <c r="I24" i="1"/>
  <c r="H24" i="1"/>
  <c r="J17" i="1"/>
  <c r="J19" i="1" s="1"/>
  <c r="J33" i="1" s="1"/>
  <c r="I17" i="1"/>
  <c r="I19" i="1" s="1"/>
  <c r="I33" i="1" s="1"/>
  <c r="H17" i="1"/>
  <c r="H19" i="1" s="1"/>
  <c r="H33" i="1" s="1"/>
  <c r="C30" i="1"/>
  <c r="D30" i="1"/>
  <c r="B30" i="1"/>
  <c r="C24" i="1"/>
  <c r="D24" i="1"/>
  <c r="B24" i="1"/>
  <c r="C17" i="1"/>
  <c r="C19" i="1"/>
  <c r="C33" i="1" s="1"/>
  <c r="D17" i="1"/>
  <c r="D19" i="1" s="1"/>
  <c r="D33" i="1" s="1"/>
  <c r="B17" i="1"/>
  <c r="B19" i="1" s="1"/>
  <c r="B33" i="1" s="1"/>
</calcChain>
</file>

<file path=xl/sharedStrings.xml><?xml version="1.0" encoding="utf-8"?>
<sst xmlns="http://schemas.openxmlformats.org/spreadsheetml/2006/main" count="62" uniqueCount="28">
  <si>
    <t>Susan</t>
  </si>
  <si>
    <t>Chicago Museum</t>
  </si>
  <si>
    <t>Orlando Theme Park</t>
  </si>
  <si>
    <t>Miami Cruise</t>
  </si>
  <si>
    <t>Tim</t>
  </si>
  <si>
    <t>Per person Expenses</t>
  </si>
  <si>
    <t>Air Fare</t>
  </si>
  <si>
    <t>Natural History</t>
  </si>
  <si>
    <t>Chicago Musuem of Art</t>
  </si>
  <si>
    <t>Science Museum</t>
  </si>
  <si>
    <t>Museum of broadcast history</t>
  </si>
  <si>
    <t>Disneland</t>
  </si>
  <si>
    <t>Universal studios</t>
  </si>
  <si>
    <t>Sea world</t>
  </si>
  <si>
    <t>Busch Gardens</t>
  </si>
  <si>
    <t>Cruise</t>
  </si>
  <si>
    <t>Subtotal of Tickets (per person)</t>
  </si>
  <si>
    <t>Number of People in group</t>
  </si>
  <si>
    <t>Total</t>
  </si>
  <si>
    <t>Hotel Expenses</t>
  </si>
  <si>
    <t>Hotel cost per night</t>
  </si>
  <si>
    <t>Number of nights</t>
  </si>
  <si>
    <t>Hotel total</t>
  </si>
  <si>
    <t>Daily expenses</t>
  </si>
  <si>
    <t>Food</t>
  </si>
  <si>
    <t>Rental</t>
  </si>
  <si>
    <t>Number of days</t>
  </si>
  <si>
    <t>Overall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</si>
</sst>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3">
    <font>
      <sz val="11"/>
      <color theme="1"/>
      <name val="Aptos Narrow"/>
      <family val="2"/>
      <scheme val="minor"/>
    </font>
    <font>
      <sz val="11"/>
      <color rgb="FFFF0000"/>
      <name val="Aptos Narrow"/>
      <scheme val="minor"/>
    </font>
    <font>
      <sz val="11"/>
      <color rgb="FF0D0D0D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164" fontId="0" fillId="2" borderId="0" xfId="0" applyNumberFormat="1" applyFill="1"/>
    <xf numFmtId="0" fontId="2" fillId="3" borderId="0" xfId="0" applyFont="1" applyFill="1"/>
    <xf numFmtId="164" fontId="0" fillId="3" borderId="0" xfId="0" applyNumberFormat="1" applyFill="1"/>
    <xf numFmtId="164" fontId="0" fillId="0" borderId="0" xfId="0" applyNumberFormat="1"/>
    <xf numFmtId="0" fontId="1" fillId="4" borderId="0" xfId="0" applyFont="1" applyFill="1"/>
    <xf numFmtId="0" fontId="0" fillId="4" borderId="0" xfId="0" applyFill="1"/>
    <xf numFmtId="164" fontId="0" fillId="4" borderId="0" xfId="0" applyNumberFormat="1" applyFill="1"/>
    <xf numFmtId="0" fontId="0" fillId="4" borderId="0" xfId="0" applyNumberFormat="1" applyFill="1"/>
    <xf numFmtId="0" fontId="0" fillId="5" borderId="0" xfId="0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Susan vacation decision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Sheet1!$B$32:$D$32</c:f>
              <c:strCache>
                <c:ptCount val="3"/>
                <c:pt idx="0">
                  <c:v>Chicago Museum</c:v>
                </c:pt>
                <c:pt idx="1">
                  <c:v>Orlando Theme Park</c:v>
                </c:pt>
                <c:pt idx="2">
                  <c:v>Miami Cruise</c:v>
                </c:pt>
              </c:strCache>
            </c:strRef>
          </c:cat>
          <c:val>
            <c:numRef>
              <c:f>Sheet1!$B$33:$D$33</c:f>
              <c:numCache>
                <c:formatCode>_([$$-409]* #,##0.00_);_([$$-409]* \(#,##0.00\);_([$$-409]* "-"??_);_(@_)</c:formatCode>
                <c:ptCount val="3"/>
                <c:pt idx="0">
                  <c:v>1624</c:v>
                </c:pt>
                <c:pt idx="1">
                  <c:v>1598</c:v>
                </c:pt>
                <c:pt idx="2">
                  <c:v>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F-426F-AA83-23ECBCBE0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4764551"/>
        <c:axId val="1214766599"/>
      </c:barChart>
      <c:catAx>
        <c:axId val="1214764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766599"/>
        <c:crosses val="autoZero"/>
        <c:auto val="1"/>
        <c:lblAlgn val="ctr"/>
        <c:lblOffset val="100"/>
        <c:noMultiLvlLbl val="0"/>
      </c:catAx>
      <c:valAx>
        <c:axId val="1214766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764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 vacation decision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Sheet1!$H$32:$J$32</c:f>
              <c:strCache>
                <c:ptCount val="3"/>
                <c:pt idx="0">
                  <c:v>Chicago Museum</c:v>
                </c:pt>
                <c:pt idx="1">
                  <c:v>Orlando Theme Park</c:v>
                </c:pt>
                <c:pt idx="2">
                  <c:v>Miami Cruise</c:v>
                </c:pt>
              </c:strCache>
            </c:strRef>
          </c:cat>
          <c:val>
            <c:numRef>
              <c:f>Sheet1!$H$33:$J$33</c:f>
              <c:numCache>
                <c:formatCode>_([$$-409]* #,##0.00_);_([$$-409]* \(#,##0.00\);_([$$-409]* "-"??_);_(@_)</c:formatCode>
                <c:ptCount val="3"/>
                <c:pt idx="0">
                  <c:v>2348</c:v>
                </c:pt>
                <c:pt idx="1">
                  <c:v>2581</c:v>
                </c:pt>
                <c:pt idx="2">
                  <c:v>3620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85-4EFC-AF55-24A0C0C59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4449415"/>
        <c:axId val="1914451463"/>
      </c:barChart>
      <c:catAx>
        <c:axId val="1914449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451463"/>
        <c:crosses val="autoZero"/>
        <c:auto val="1"/>
        <c:lblAlgn val="ctr"/>
        <c:lblOffset val="100"/>
        <c:noMultiLvlLbl val="0"/>
      </c:catAx>
      <c:valAx>
        <c:axId val="1914451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449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1133475</xdr:colOff>
      <xdr:row>34</xdr:row>
      <xdr:rowOff>19050</xdr:rowOff>
    </xdr:from>
    <xdr:to>
      <xdr:col>3</xdr:col>
      <xdr:colOff>790575</xdr:colOff>
      <xdr:row>46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94A6CA-D4BF-30D1-C90E-E518CBD57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1171575</xdr:colOff>
      <xdr:row>34</xdr:row>
      <xdr:rowOff>0</xdr:rowOff>
    </xdr:from>
    <xdr:to>
      <xdr:col>10</xdr:col>
      <xdr:colOff>9525</xdr:colOff>
      <xdr:row>43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947D31-340C-2C79-CBEE-9E5CDC8B092B}"/>
            </a:ext>
            <a:ext uri="{147F2762-F138-4A5C-976F-8EAC2B608ADB}">
              <a16:predDERef xmlns:a16="http://schemas.microsoft.com/office/drawing/2014/main" pred="{BD94A6CA-D4BF-30D1-C90E-E518CBD57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A27" workbookViewId="0">
      <selection activeCell="H32" sqref="H32:J33"/>
    </sheetView>
  </sheetViews>
  <sheetFormatPr defaultRowHeight="15"/>
  <cols>
    <col min="1" max="1" width="27.42578125" bestFit="1" customWidth="1"/>
    <col min="2" max="2" width="15.7109375" bestFit="1" customWidth="1"/>
    <col min="3" max="3" width="18.140625" bestFit="1" customWidth="1"/>
    <col min="4" max="4" width="12.140625" bestFit="1" customWidth="1"/>
    <col min="7" max="7" width="27.42578125" bestFit="1" customWidth="1"/>
    <col min="8" max="8" width="15.7109375" bestFit="1" customWidth="1"/>
    <col min="9" max="9" width="18.140625" bestFit="1" customWidth="1"/>
    <col min="10" max="10" width="12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1</v>
      </c>
      <c r="I1" t="s">
        <v>2</v>
      </c>
      <c r="J1" t="s">
        <v>3</v>
      </c>
    </row>
    <row r="5" spans="1:10">
      <c r="A5" s="2" t="s">
        <v>5</v>
      </c>
      <c r="B5" s="6"/>
      <c r="C5" s="6"/>
      <c r="D5" s="6"/>
      <c r="G5" s="2" t="s">
        <v>5</v>
      </c>
      <c r="H5" s="6"/>
      <c r="I5" s="6"/>
      <c r="J5" s="6"/>
    </row>
    <row r="6" spans="1:10">
      <c r="A6" s="3" t="s">
        <v>6</v>
      </c>
      <c r="B6" s="6">
        <v>280</v>
      </c>
      <c r="C6" s="6">
        <v>100</v>
      </c>
      <c r="D6" s="6">
        <v>350</v>
      </c>
      <c r="G6" s="3" t="s">
        <v>6</v>
      </c>
      <c r="H6" s="6">
        <v>280</v>
      </c>
      <c r="I6" s="6">
        <v>100</v>
      </c>
      <c r="J6" s="6">
        <v>350</v>
      </c>
    </row>
    <row r="7" spans="1:10">
      <c r="A7" s="3" t="s">
        <v>7</v>
      </c>
      <c r="B7" s="6">
        <v>18</v>
      </c>
      <c r="C7" s="6">
        <v>0</v>
      </c>
      <c r="D7" s="6">
        <v>0</v>
      </c>
      <c r="G7" s="3" t="s">
        <v>7</v>
      </c>
      <c r="H7" s="6">
        <v>18</v>
      </c>
      <c r="I7" s="6">
        <v>0</v>
      </c>
      <c r="J7" s="6">
        <v>0</v>
      </c>
    </row>
    <row r="8" spans="1:10">
      <c r="A8" s="3" t="s">
        <v>8</v>
      </c>
      <c r="B8" s="6">
        <v>25</v>
      </c>
      <c r="C8" s="6">
        <v>0</v>
      </c>
      <c r="D8" s="6">
        <v>0</v>
      </c>
      <c r="G8" s="3" t="s">
        <v>8</v>
      </c>
      <c r="H8" s="6">
        <v>25</v>
      </c>
      <c r="I8" s="6">
        <v>0</v>
      </c>
      <c r="J8" s="6">
        <v>0</v>
      </c>
    </row>
    <row r="9" spans="1:10">
      <c r="A9" s="3" t="s">
        <v>9</v>
      </c>
      <c r="B9" s="6">
        <v>15</v>
      </c>
      <c r="C9" s="6">
        <v>0</v>
      </c>
      <c r="D9" s="6">
        <v>0</v>
      </c>
      <c r="G9" s="3" t="s">
        <v>9</v>
      </c>
      <c r="H9" s="6">
        <v>15</v>
      </c>
      <c r="I9" s="6">
        <v>0</v>
      </c>
      <c r="J9" s="6">
        <v>0</v>
      </c>
    </row>
    <row r="10" spans="1:10">
      <c r="A10" s="3" t="s">
        <v>10</v>
      </c>
      <c r="B10" s="6">
        <v>9</v>
      </c>
      <c r="C10" s="6">
        <v>0</v>
      </c>
      <c r="D10" s="6">
        <v>0</v>
      </c>
      <c r="G10" s="3" t="s">
        <v>10</v>
      </c>
      <c r="H10" s="6">
        <v>9</v>
      </c>
      <c r="I10" s="6">
        <v>0</v>
      </c>
      <c r="J10" s="6">
        <v>0</v>
      </c>
    </row>
    <row r="11" spans="1:10">
      <c r="A11" s="3" t="s">
        <v>11</v>
      </c>
      <c r="B11" s="6">
        <v>0</v>
      </c>
      <c r="C11" s="6">
        <v>99</v>
      </c>
      <c r="D11" s="6">
        <v>0</v>
      </c>
      <c r="G11" s="3" t="s">
        <v>11</v>
      </c>
      <c r="H11" s="6">
        <v>0</v>
      </c>
      <c r="I11" s="6">
        <v>99</v>
      </c>
      <c r="J11" s="6">
        <v>0</v>
      </c>
    </row>
    <row r="12" spans="1:10">
      <c r="A12" s="3" t="s">
        <v>12</v>
      </c>
      <c r="B12" s="6">
        <v>0</v>
      </c>
      <c r="C12" s="6">
        <v>95</v>
      </c>
      <c r="D12" s="6">
        <v>0</v>
      </c>
      <c r="G12" s="3" t="s">
        <v>12</v>
      </c>
      <c r="H12" s="6">
        <v>0</v>
      </c>
      <c r="I12" s="6">
        <v>95</v>
      </c>
      <c r="J12" s="6">
        <v>0</v>
      </c>
    </row>
    <row r="13" spans="1:10">
      <c r="A13" s="3" t="s">
        <v>13</v>
      </c>
      <c r="B13" s="6">
        <v>0</v>
      </c>
      <c r="C13" s="6">
        <v>85</v>
      </c>
      <c r="D13" s="6">
        <v>0</v>
      </c>
      <c r="G13" s="3" t="s">
        <v>13</v>
      </c>
      <c r="H13" s="6">
        <v>0</v>
      </c>
      <c r="I13" s="6">
        <v>85</v>
      </c>
      <c r="J13" s="6">
        <v>0</v>
      </c>
    </row>
    <row r="14" spans="1:10">
      <c r="A14" s="3" t="s">
        <v>14</v>
      </c>
      <c r="B14" s="6">
        <v>0</v>
      </c>
      <c r="C14" s="6">
        <v>85</v>
      </c>
      <c r="D14" s="6">
        <v>0</v>
      </c>
      <c r="G14" s="3" t="s">
        <v>14</v>
      </c>
      <c r="H14" s="6">
        <v>0</v>
      </c>
      <c r="I14" s="6">
        <v>85</v>
      </c>
      <c r="J14" s="6">
        <v>0</v>
      </c>
    </row>
    <row r="15" spans="1:10">
      <c r="A15" s="3" t="s">
        <v>15</v>
      </c>
      <c r="B15" s="6">
        <v>0</v>
      </c>
      <c r="C15" s="6">
        <v>0</v>
      </c>
      <c r="D15" s="6">
        <v>555</v>
      </c>
      <c r="G15" s="3" t="s">
        <v>15</v>
      </c>
      <c r="H15" s="6">
        <v>0</v>
      </c>
      <c r="I15" s="6">
        <v>0</v>
      </c>
      <c r="J15" s="6">
        <v>555</v>
      </c>
    </row>
    <row r="16" spans="1:10">
      <c r="B16" s="9"/>
      <c r="C16" s="9"/>
      <c r="D16" s="9"/>
      <c r="H16" s="9"/>
      <c r="I16" s="9"/>
      <c r="J16" s="9"/>
    </row>
    <row r="17" spans="1:10">
      <c r="A17" s="3" t="s">
        <v>16</v>
      </c>
      <c r="B17" s="6">
        <f>SUM(B6:B15)</f>
        <v>347</v>
      </c>
      <c r="C17" s="6">
        <f>SUM(C6:C15)</f>
        <v>464</v>
      </c>
      <c r="D17" s="6">
        <f t="shared" ref="D17" si="0">SUM(D6:D15)</f>
        <v>905</v>
      </c>
      <c r="G17" s="3" t="s">
        <v>16</v>
      </c>
      <c r="H17" s="6">
        <f>SUM(H6:H15)</f>
        <v>347</v>
      </c>
      <c r="I17" s="6">
        <f>SUM(I6:I15)</f>
        <v>464</v>
      </c>
      <c r="J17" s="6">
        <f t="shared" ref="J17" si="1">SUM(J6:J15)</f>
        <v>905</v>
      </c>
    </row>
    <row r="18" spans="1:10">
      <c r="A18" s="3" t="s">
        <v>17</v>
      </c>
      <c r="B18" s="3">
        <v>2</v>
      </c>
      <c r="C18" s="3">
        <v>2</v>
      </c>
      <c r="D18" s="3">
        <v>2</v>
      </c>
      <c r="G18" s="3" t="s">
        <v>17</v>
      </c>
      <c r="H18" s="3">
        <v>4</v>
      </c>
      <c r="I18" s="3">
        <v>4</v>
      </c>
      <c r="J18" s="3">
        <v>4</v>
      </c>
    </row>
    <row r="19" spans="1:10">
      <c r="A19" s="3" t="s">
        <v>18</v>
      </c>
      <c r="B19" s="6">
        <f>B17*B18</f>
        <v>694</v>
      </c>
      <c r="C19" s="6">
        <f t="shared" ref="C19:D19" si="2">C17*C18</f>
        <v>928</v>
      </c>
      <c r="D19" s="6">
        <f t="shared" si="2"/>
        <v>1810</v>
      </c>
      <c r="G19" s="3" t="s">
        <v>18</v>
      </c>
      <c r="H19" s="6">
        <f>H17*H18</f>
        <v>1388</v>
      </c>
      <c r="I19" s="6">
        <f t="shared" ref="I19" si="3">I17*I18</f>
        <v>1856</v>
      </c>
      <c r="J19" s="6">
        <f t="shared" ref="J19" si="4">J17*J18</f>
        <v>3620</v>
      </c>
    </row>
    <row r="20" spans="1:10">
      <c r="A20" s="1"/>
      <c r="G20" s="1"/>
    </row>
    <row r="21" spans="1:10">
      <c r="A21" s="4" t="s">
        <v>19</v>
      </c>
      <c r="B21" s="5"/>
      <c r="C21" s="5"/>
      <c r="D21" s="5"/>
      <c r="G21" s="4" t="s">
        <v>19</v>
      </c>
      <c r="H21" s="5"/>
      <c r="I21" s="5"/>
      <c r="J21" s="5"/>
    </row>
    <row r="22" spans="1:10">
      <c r="A22" s="7" t="s">
        <v>20</v>
      </c>
      <c r="B22" s="8">
        <v>120</v>
      </c>
      <c r="C22" s="8">
        <v>105</v>
      </c>
      <c r="D22" s="8">
        <v>0</v>
      </c>
      <c r="G22" s="7" t="s">
        <v>20</v>
      </c>
      <c r="H22" s="8">
        <v>120</v>
      </c>
      <c r="I22" s="8">
        <v>105</v>
      </c>
      <c r="J22" s="8">
        <v>0</v>
      </c>
    </row>
    <row r="23" spans="1:10">
      <c r="A23" s="5" t="s">
        <v>21</v>
      </c>
      <c r="B23" s="5">
        <v>4</v>
      </c>
      <c r="C23" s="5">
        <v>4</v>
      </c>
      <c r="D23" s="5">
        <v>4</v>
      </c>
      <c r="G23" s="5" t="s">
        <v>21</v>
      </c>
      <c r="H23" s="5">
        <v>5</v>
      </c>
      <c r="I23" s="5">
        <v>5</v>
      </c>
      <c r="J23" s="5">
        <v>5</v>
      </c>
    </row>
    <row r="24" spans="1:10">
      <c r="A24" s="5" t="s">
        <v>22</v>
      </c>
      <c r="B24" s="8">
        <f>B22*B23</f>
        <v>480</v>
      </c>
      <c r="C24" s="8">
        <f t="shared" ref="C24:D24" si="5">C22*C23</f>
        <v>420</v>
      </c>
      <c r="D24" s="8">
        <f t="shared" si="5"/>
        <v>0</v>
      </c>
      <c r="G24" s="5" t="s">
        <v>22</v>
      </c>
      <c r="H24" s="8">
        <f>H22*H23</f>
        <v>600</v>
      </c>
      <c r="I24" s="8">
        <f t="shared" ref="I24" si="6">I22*I23</f>
        <v>525</v>
      </c>
      <c r="J24" s="8">
        <f t="shared" ref="J24" si="7">J22*J23</f>
        <v>0</v>
      </c>
    </row>
    <row r="26" spans="1:10">
      <c r="A26" s="10" t="s">
        <v>23</v>
      </c>
      <c r="B26" s="11"/>
      <c r="C26" s="11"/>
      <c r="D26" s="11"/>
      <c r="G26" s="10" t="s">
        <v>23</v>
      </c>
      <c r="H26" s="11"/>
      <c r="I26" s="11"/>
      <c r="J26" s="11"/>
    </row>
    <row r="27" spans="1:10">
      <c r="A27" s="11" t="s">
        <v>24</v>
      </c>
      <c r="B27" s="12">
        <v>50</v>
      </c>
      <c r="C27" s="12">
        <v>50</v>
      </c>
      <c r="D27" s="12">
        <v>0</v>
      </c>
      <c r="G27" s="11" t="s">
        <v>24</v>
      </c>
      <c r="H27" s="12">
        <v>50</v>
      </c>
      <c r="I27" s="12">
        <v>50</v>
      </c>
      <c r="J27" s="12">
        <v>0</v>
      </c>
    </row>
    <row r="28" spans="1:10">
      <c r="A28" s="11" t="s">
        <v>25</v>
      </c>
      <c r="B28" s="12">
        <v>40</v>
      </c>
      <c r="C28" s="12">
        <v>0</v>
      </c>
      <c r="D28" s="12">
        <v>0</v>
      </c>
      <c r="G28" s="11" t="s">
        <v>25</v>
      </c>
      <c r="H28" s="12">
        <v>40</v>
      </c>
      <c r="I28" s="12">
        <v>0</v>
      </c>
      <c r="J28" s="12">
        <v>0</v>
      </c>
    </row>
    <row r="29" spans="1:10">
      <c r="A29" s="11" t="s">
        <v>26</v>
      </c>
      <c r="B29" s="13">
        <v>5</v>
      </c>
      <c r="C29" s="13">
        <v>5</v>
      </c>
      <c r="D29" s="13">
        <v>5</v>
      </c>
      <c r="G29" s="11" t="s">
        <v>26</v>
      </c>
      <c r="H29" s="13">
        <v>4</v>
      </c>
      <c r="I29" s="13">
        <v>4</v>
      </c>
      <c r="J29" s="13">
        <v>4</v>
      </c>
    </row>
    <row r="30" spans="1:10">
      <c r="A30" s="11" t="s">
        <v>18</v>
      </c>
      <c r="B30" s="12">
        <f>SUM(B27:B28)*B29</f>
        <v>450</v>
      </c>
      <c r="C30" s="12">
        <f t="shared" ref="C30:D30" si="8">SUM(C27:C28)*C29</f>
        <v>250</v>
      </c>
      <c r="D30" s="12">
        <f t="shared" si="8"/>
        <v>0</v>
      </c>
      <c r="G30" s="11" t="s">
        <v>18</v>
      </c>
      <c r="H30" s="12">
        <f>SUM(H27:H28)*H29</f>
        <v>360</v>
      </c>
      <c r="I30" s="12">
        <f t="shared" ref="I30" si="9">SUM(I27:I28)*I29</f>
        <v>200</v>
      </c>
      <c r="J30" s="12">
        <f t="shared" ref="J30" si="10">SUM(J27:J28)*J29</f>
        <v>0</v>
      </c>
    </row>
    <row r="32" spans="1:10">
      <c r="B32" t="s">
        <v>1</v>
      </c>
      <c r="C32" t="s">
        <v>2</v>
      </c>
      <c r="D32" t="s">
        <v>3</v>
      </c>
      <c r="H32" t="s">
        <v>1</v>
      </c>
      <c r="I32" t="s">
        <v>2</v>
      </c>
      <c r="J32" t="s">
        <v>3</v>
      </c>
    </row>
    <row r="33" spans="1:10">
      <c r="A33" s="14" t="s">
        <v>27</v>
      </c>
      <c r="B33" s="15">
        <f>B19+B24+B30</f>
        <v>1624</v>
      </c>
      <c r="C33" s="15">
        <f t="shared" ref="C33:D33" si="11">C19+C24+C30</f>
        <v>1598</v>
      </c>
      <c r="D33" s="15">
        <f t="shared" si="11"/>
        <v>1810</v>
      </c>
      <c r="G33" s="14" t="s">
        <v>27</v>
      </c>
      <c r="H33" s="15">
        <f>H19+H24+H30</f>
        <v>2348</v>
      </c>
      <c r="I33" s="15">
        <f t="shared" ref="I33:J33" si="12">I19+I24+I30</f>
        <v>2581</v>
      </c>
      <c r="J33" s="15">
        <f t="shared" si="12"/>
        <v>3620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2026-04-20T20:05:03Z</dcterms:created>
  <dcterms:modified xsi:type="dcterms:W3CDTF">2026-04-20T21:28:11Z</dcterms:modified>
  <cp:category/>
  <cp:contentStatus/>
</cp:coreProperties>
</file>