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3F97CAB9-3AF9-4E55-9607-801C969DFD3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H13" i="1"/>
  <c r="H10" i="1"/>
  <c r="C17" i="1"/>
  <c r="D17" i="1"/>
  <c r="B17" i="1"/>
  <c r="C14" i="1"/>
  <c r="D14" i="1"/>
  <c r="B14" i="1"/>
  <c r="C13" i="1"/>
  <c r="D13" i="1"/>
  <c r="B13" i="1"/>
  <c r="B10" i="1"/>
  <c r="I14" i="1" l="1"/>
  <c r="I17" i="1" s="1"/>
  <c r="J13" i="1"/>
  <c r="J14" i="1" s="1"/>
  <c r="J17" i="1" s="1"/>
  <c r="H14" i="1"/>
  <c r="H17" i="1" s="1"/>
</calcChain>
</file>

<file path=xl/sharedStrings.xml><?xml version="1.0" encoding="utf-8"?>
<sst xmlns="http://schemas.openxmlformats.org/spreadsheetml/2006/main" count="36" uniqueCount="16">
  <si>
    <t>Susan</t>
  </si>
  <si>
    <t>Epsilon</t>
  </si>
  <si>
    <t>HP</t>
  </si>
  <si>
    <t>Zero</t>
  </si>
  <si>
    <t>Tim</t>
  </si>
  <si>
    <t>Purchase price</t>
  </si>
  <si>
    <t>Ink cartridge cost</t>
  </si>
  <si>
    <t>pages printed per day</t>
  </si>
  <si>
    <t>days per week</t>
  </si>
  <si>
    <t>weeks per year (minus two for vacation)</t>
  </si>
  <si>
    <t>number of years</t>
  </si>
  <si>
    <t>pages printed in required years</t>
  </si>
  <si>
    <t>pages cartridge can print</t>
  </si>
  <si>
    <t>Cartridges required for required years</t>
  </si>
  <si>
    <t>Cost of cartdiges of required years</t>
  </si>
  <si>
    <t>Total cost of required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</si>
</sst>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2" borderId="0" xfId="0" applyNumberFormat="1" applyFill="1"/>
    <xf numFmtId="164" fontId="0" fillId="0" borderId="0" xfId="0" applyNumberFormat="1"/>
    <xf numFmtId="164" fontId="0" fillId="3" borderId="0" xfId="0" applyNumberFormat="1" applyFill="1"/>
    <xf numFmtId="0" fontId="0" fillId="5" borderId="0" xfId="0" applyFill="1"/>
    <xf numFmtId="0" fontId="0" fillId="5" borderId="0" xfId="0" applyNumberFormat="1" applyFill="1"/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Susan's printer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Sheet1!$B$16:$D$16</c:f>
              <c:strCache>
                <c:ptCount val="3"/>
                <c:pt idx="0">
                  <c:v>Epsilon</c:v>
                </c:pt>
                <c:pt idx="1">
                  <c:v>HP</c:v>
                </c:pt>
                <c:pt idx="2">
                  <c:v>Zero</c:v>
                </c:pt>
              </c:strCache>
            </c:strRef>
          </c:cat>
          <c:val>
            <c:numRef>
              <c:f>Sheet1!$B$17:$D$17</c:f>
              <c:numCache>
                <c:formatCode>_-[$$-409]* #,##0.00_ ;_-[$$-409]* \-#,##0.00\ ;_-[$$-409]* "-"??_ ;_-@_ </c:formatCode>
                <c:ptCount val="3"/>
                <c:pt idx="0">
                  <c:v>1549</c:v>
                </c:pt>
                <c:pt idx="1">
                  <c:v>869</c:v>
                </c:pt>
                <c:pt idx="2">
                  <c:v>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B-44EF-83F7-A3F495F7A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7224"/>
        <c:axId val="9419272"/>
      </c:barChart>
      <c:catAx>
        <c:axId val="9417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9272"/>
        <c:crosses val="autoZero"/>
        <c:auto val="1"/>
        <c:lblAlgn val="ctr"/>
        <c:lblOffset val="100"/>
        <c:noMultiLvlLbl val="0"/>
      </c:catAx>
      <c:valAx>
        <c:axId val="941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7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Tim's printer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Sheet1!$H$16:$J$16</c:f>
              <c:strCache>
                <c:ptCount val="3"/>
                <c:pt idx="0">
                  <c:v>Epsilon</c:v>
                </c:pt>
                <c:pt idx="1">
                  <c:v>HP</c:v>
                </c:pt>
                <c:pt idx="2">
                  <c:v>Zero</c:v>
                </c:pt>
              </c:strCache>
            </c:strRef>
          </c:cat>
          <c:val>
            <c:numRef>
              <c:f>Sheet1!$H$17:$J$17</c:f>
              <c:numCache>
                <c:formatCode>_-[$$-409]* #,##0.00_ ;_-[$$-409]* \-#,##0.00\ ;_-[$$-409]* "-"??_ ;_-@_ </c:formatCode>
                <c:ptCount val="3"/>
                <c:pt idx="0">
                  <c:v>25029</c:v>
                </c:pt>
                <c:pt idx="1">
                  <c:v>11399</c:v>
                </c:pt>
                <c:pt idx="2">
                  <c:v>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A-4427-B7A1-AC721B000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8263"/>
        <c:axId val="93425671"/>
      </c:barChart>
      <c:catAx>
        <c:axId val="93408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25671"/>
        <c:crosses val="autoZero"/>
        <c:auto val="1"/>
        <c:lblAlgn val="ctr"/>
        <c:lblOffset val="100"/>
        <c:noMultiLvlLbl val="0"/>
      </c:catAx>
      <c:valAx>
        <c:axId val="93425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08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952500</xdr:colOff>
      <xdr:row>17</xdr:row>
      <xdr:rowOff>161925</xdr:rowOff>
    </xdr:from>
    <xdr:to>
      <xdr:col>3</xdr:col>
      <xdr:colOff>600075</xdr:colOff>
      <xdr:row>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54AE07-659F-0127-FD48-BB1695D77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657225</xdr:colOff>
      <xdr:row>17</xdr:row>
      <xdr:rowOff>180975</xdr:rowOff>
    </xdr:from>
    <xdr:to>
      <xdr:col>10</xdr:col>
      <xdr:colOff>9525</xdr:colOff>
      <xdr:row>29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DB90D0-E1CA-304C-F2EA-A00050C46353}"/>
            </a:ext>
            <a:ext uri="{147F2762-F138-4A5C-976F-8EAC2B608ADB}">
              <a16:predDERef xmlns:a16="http://schemas.microsoft.com/office/drawing/2014/main" pred="{D554AE07-659F-0127-FD48-BB1695D77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G13" workbookViewId="0">
      <selection activeCell="H16" sqref="H16:J17"/>
    </sheetView>
  </sheetViews>
  <sheetFormatPr defaultRowHeight="15"/>
  <cols>
    <col min="1" max="1" width="34.42578125" bestFit="1" customWidth="1"/>
    <col min="2" max="2" width="13" bestFit="1" customWidth="1"/>
    <col min="7" max="7" width="34.42578125" bestFit="1" customWidth="1"/>
    <col min="8" max="9" width="11.42578125" bestFit="1" customWidth="1"/>
    <col min="10" max="10" width="10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1</v>
      </c>
      <c r="I1" t="s">
        <v>2</v>
      </c>
      <c r="J1" t="s">
        <v>3</v>
      </c>
    </row>
    <row r="2" spans="1:10">
      <c r="A2" s="1" t="s">
        <v>5</v>
      </c>
      <c r="B2" s="4">
        <v>29</v>
      </c>
      <c r="C2" s="4">
        <v>149</v>
      </c>
      <c r="D2" s="4">
        <v>549</v>
      </c>
      <c r="G2" s="1" t="s">
        <v>5</v>
      </c>
      <c r="H2" s="4">
        <v>29</v>
      </c>
      <c r="I2" s="4">
        <v>149</v>
      </c>
      <c r="J2" s="4">
        <v>549</v>
      </c>
    </row>
    <row r="3" spans="1:10">
      <c r="B3" s="5"/>
      <c r="C3" s="5"/>
      <c r="D3" s="5"/>
      <c r="H3" s="5"/>
      <c r="I3" s="5"/>
      <c r="J3" s="5"/>
    </row>
    <row r="4" spans="1:10">
      <c r="A4" s="2" t="s">
        <v>6</v>
      </c>
      <c r="B4" s="6">
        <v>40</v>
      </c>
      <c r="C4" s="6">
        <v>90</v>
      </c>
      <c r="D4" s="6">
        <v>370</v>
      </c>
      <c r="G4" s="2" t="s">
        <v>6</v>
      </c>
      <c r="H4" s="6">
        <v>40</v>
      </c>
      <c r="I4" s="6">
        <v>90</v>
      </c>
      <c r="J4" s="6">
        <v>370</v>
      </c>
    </row>
    <row r="6" spans="1:10">
      <c r="A6" s="3" t="s">
        <v>7</v>
      </c>
      <c r="B6" s="3">
        <v>15</v>
      </c>
      <c r="G6" s="3" t="s">
        <v>7</v>
      </c>
      <c r="H6" s="3">
        <v>500</v>
      </c>
    </row>
    <row r="7" spans="1:10">
      <c r="A7" s="3" t="s">
        <v>8</v>
      </c>
      <c r="B7" s="3">
        <v>5</v>
      </c>
      <c r="G7" s="3" t="s">
        <v>8</v>
      </c>
      <c r="H7" s="3">
        <v>5</v>
      </c>
    </row>
    <row r="8" spans="1:10">
      <c r="A8" s="3" t="s">
        <v>9</v>
      </c>
      <c r="B8" s="3">
        <v>50</v>
      </c>
      <c r="G8" s="3" t="s">
        <v>9</v>
      </c>
      <c r="H8" s="3">
        <v>50</v>
      </c>
    </row>
    <row r="9" spans="1:10">
      <c r="A9" s="3" t="s">
        <v>10</v>
      </c>
      <c r="B9" s="3">
        <v>2</v>
      </c>
      <c r="G9" s="3" t="s">
        <v>10</v>
      </c>
      <c r="H9" s="3">
        <v>1</v>
      </c>
    </row>
    <row r="10" spans="1:10">
      <c r="A10" s="3" t="s">
        <v>11</v>
      </c>
      <c r="B10" s="3">
        <f>B6*B7*B8*B9</f>
        <v>7500</v>
      </c>
      <c r="G10" s="3" t="s">
        <v>11</v>
      </c>
      <c r="H10" s="3">
        <f>H6*H7*H8*H9</f>
        <v>125000</v>
      </c>
    </row>
    <row r="12" spans="1:10">
      <c r="A12" s="7" t="s">
        <v>12</v>
      </c>
      <c r="B12" s="7">
        <v>200</v>
      </c>
      <c r="C12" s="7">
        <v>1000</v>
      </c>
      <c r="D12" s="7">
        <v>11000</v>
      </c>
      <c r="G12" s="7" t="s">
        <v>12</v>
      </c>
      <c r="H12" s="7">
        <v>200</v>
      </c>
      <c r="I12" s="7">
        <v>1000</v>
      </c>
      <c r="J12" s="7">
        <v>11000</v>
      </c>
    </row>
    <row r="13" spans="1:10">
      <c r="A13" s="7" t="s">
        <v>13</v>
      </c>
      <c r="B13" s="8">
        <f>CEILING($B10/B12,1)</f>
        <v>38</v>
      </c>
      <c r="C13" s="8">
        <f t="shared" ref="C13:D13" si="0">CEILING($B10/C12,1)</f>
        <v>8</v>
      </c>
      <c r="D13" s="8">
        <f t="shared" si="0"/>
        <v>1</v>
      </c>
      <c r="G13" s="7" t="s">
        <v>13</v>
      </c>
      <c r="H13" s="8">
        <f>CEILING($H10/H12,1)</f>
        <v>625</v>
      </c>
      <c r="I13" s="8">
        <f>CEILING($H10/I12,1)</f>
        <v>125</v>
      </c>
      <c r="J13" s="8">
        <f t="shared" ref="I13:J13" si="1">CEILING($H10/J12,1)</f>
        <v>12</v>
      </c>
    </row>
    <row r="14" spans="1:10">
      <c r="A14" s="7" t="s">
        <v>14</v>
      </c>
      <c r="B14" s="9">
        <f>B13*B4</f>
        <v>1520</v>
      </c>
      <c r="C14" s="9">
        <f t="shared" ref="C14:D14" si="2">C13*C4</f>
        <v>720</v>
      </c>
      <c r="D14" s="9">
        <f t="shared" si="2"/>
        <v>370</v>
      </c>
      <c r="G14" s="7" t="s">
        <v>14</v>
      </c>
      <c r="H14" s="9">
        <f>H13*H4</f>
        <v>25000</v>
      </c>
      <c r="I14" s="9">
        <f t="shared" ref="I14" si="3">I13*I4</f>
        <v>11250</v>
      </c>
      <c r="J14" s="9">
        <f t="shared" ref="J14" si="4">J13*J4</f>
        <v>4440</v>
      </c>
    </row>
    <row r="16" spans="1:10">
      <c r="B16" s="10" t="s">
        <v>1</v>
      </c>
      <c r="C16" s="10" t="s">
        <v>2</v>
      </c>
      <c r="D16" s="10" t="s">
        <v>3</v>
      </c>
      <c r="H16" s="10" t="s">
        <v>1</v>
      </c>
      <c r="I16" s="10" t="s">
        <v>2</v>
      </c>
      <c r="J16" s="10" t="s">
        <v>3</v>
      </c>
    </row>
    <row r="17" spans="1:10">
      <c r="A17" s="10" t="s">
        <v>15</v>
      </c>
      <c r="B17" s="11">
        <f>B14+B2</f>
        <v>1549</v>
      </c>
      <c r="C17" s="11">
        <f t="shared" ref="C17:D17" si="5">C14+C2</f>
        <v>869</v>
      </c>
      <c r="D17" s="11">
        <f t="shared" si="5"/>
        <v>919</v>
      </c>
      <c r="G17" s="10" t="s">
        <v>15</v>
      </c>
      <c r="H17" s="11">
        <f>H14+H2</f>
        <v>25029</v>
      </c>
      <c r="I17" s="11">
        <f t="shared" ref="I17:J17" si="6">I14+I2</f>
        <v>11399</v>
      </c>
      <c r="J17" s="11">
        <f>J14+J2</f>
        <v>4989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2026-04-21T14:59:17Z</dcterms:created>
  <dcterms:modified xsi:type="dcterms:W3CDTF">2026-04-21T17:16:57Z</dcterms:modified>
  <cp:category/>
  <cp:contentStatus/>
</cp:coreProperties>
</file>